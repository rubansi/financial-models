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rince\Downloads\"/>
    </mc:Choice>
  </mc:AlternateContent>
  <xr:revisionPtr revIDLastSave="0" documentId="13_ncr:1_{5EC8E104-7BC0-449B-B327-4E3FF7EDDFF5}" xr6:coauthVersionLast="47" xr6:coauthVersionMax="47" xr10:uidLastSave="{00000000-0000-0000-0000-000000000000}"/>
  <bookViews>
    <workbookView xWindow="-120" yWindow="-120" windowWidth="29040" windowHeight="15720" tabRatio="500" activeTab="2" xr2:uid="{00000000-000D-0000-FFFF-FFFF00000000}"/>
  </bookViews>
  <sheets>
    <sheet name="INSTRUCTIONS" sheetId="1" r:id="rId1"/>
    <sheet name="ASSUMPTIONS" sheetId="2" r:id="rId2"/>
    <sheet name="CASHFLOW" sheetId="3" r:id="rId3"/>
    <sheet name="DASHBOARD"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6" i="3" l="1"/>
  <c r="C26" i="3"/>
  <c r="D26" i="3"/>
  <c r="C25" i="3"/>
  <c r="C12" i="3"/>
  <c r="C35" i="4"/>
  <c r="D35" i="4" s="1"/>
  <c r="C34" i="4"/>
  <c r="D34" i="4" s="1"/>
  <c r="C33" i="4"/>
  <c r="B3" i="4"/>
  <c r="O23" i="3"/>
  <c r="N23" i="3"/>
  <c r="M23" i="3"/>
  <c r="L23" i="3"/>
  <c r="K23" i="3"/>
  <c r="J23" i="3"/>
  <c r="I23" i="3"/>
  <c r="H23" i="3"/>
  <c r="G23" i="3"/>
  <c r="F23" i="3"/>
  <c r="E23" i="3"/>
  <c r="D23" i="3"/>
  <c r="C23" i="3"/>
  <c r="P23" i="3" s="1"/>
  <c r="O22" i="3"/>
  <c r="N22" i="3"/>
  <c r="M22" i="3"/>
  <c r="L22" i="3"/>
  <c r="K22" i="3"/>
  <c r="J22" i="3"/>
  <c r="I22" i="3"/>
  <c r="H22" i="3"/>
  <c r="G22" i="3"/>
  <c r="F22" i="3"/>
  <c r="E22" i="3"/>
  <c r="D22" i="3"/>
  <c r="C22" i="3"/>
  <c r="P22" i="3" s="1"/>
  <c r="O21" i="3"/>
  <c r="N21" i="3"/>
  <c r="M21" i="3"/>
  <c r="L21" i="3"/>
  <c r="K21" i="3"/>
  <c r="J21" i="3"/>
  <c r="I21" i="3"/>
  <c r="H21" i="3"/>
  <c r="G21" i="3"/>
  <c r="F21" i="3"/>
  <c r="E21" i="3"/>
  <c r="D21" i="3"/>
  <c r="C21" i="3"/>
  <c r="P21" i="3" s="1"/>
  <c r="O20" i="3"/>
  <c r="N20" i="3"/>
  <c r="M20" i="3"/>
  <c r="L20" i="3"/>
  <c r="K20" i="3"/>
  <c r="J20" i="3"/>
  <c r="I20" i="3"/>
  <c r="H20" i="3"/>
  <c r="G20" i="3"/>
  <c r="F20" i="3"/>
  <c r="E20" i="3"/>
  <c r="D20" i="3"/>
  <c r="C20" i="3"/>
  <c r="P20" i="3" s="1"/>
  <c r="O19" i="3"/>
  <c r="N19" i="3"/>
  <c r="M19" i="3"/>
  <c r="L19" i="3"/>
  <c r="K19" i="3"/>
  <c r="J19" i="3"/>
  <c r="I19" i="3"/>
  <c r="H19" i="3"/>
  <c r="G19" i="3"/>
  <c r="F19" i="3"/>
  <c r="E19" i="3"/>
  <c r="D19" i="3"/>
  <c r="C19" i="3"/>
  <c r="P19" i="3" s="1"/>
  <c r="O18" i="3"/>
  <c r="N18" i="3"/>
  <c r="M18" i="3"/>
  <c r="L18" i="3"/>
  <c r="K18" i="3"/>
  <c r="J18" i="3"/>
  <c r="I18" i="3"/>
  <c r="H18" i="3"/>
  <c r="G18" i="3"/>
  <c r="F18" i="3"/>
  <c r="E18" i="3"/>
  <c r="D18" i="3"/>
  <c r="C18" i="3"/>
  <c r="P18" i="3" s="1"/>
  <c r="O17" i="3"/>
  <c r="N17" i="3"/>
  <c r="M17" i="3"/>
  <c r="L17" i="3"/>
  <c r="K17" i="3"/>
  <c r="J17" i="3"/>
  <c r="I17" i="3"/>
  <c r="H17" i="3"/>
  <c r="G17" i="3"/>
  <c r="F17" i="3"/>
  <c r="E17" i="3"/>
  <c r="D17" i="3"/>
  <c r="C17" i="3"/>
  <c r="P17" i="3" s="1"/>
  <c r="O16" i="3"/>
  <c r="N16" i="3"/>
  <c r="M16" i="3"/>
  <c r="L16" i="3"/>
  <c r="K16" i="3"/>
  <c r="J16" i="3"/>
  <c r="I16" i="3"/>
  <c r="H16" i="3"/>
  <c r="G16" i="3"/>
  <c r="F16" i="3"/>
  <c r="E16" i="3"/>
  <c r="D16" i="3"/>
  <c r="C16" i="3"/>
  <c r="P16" i="3" s="1"/>
  <c r="O15" i="3"/>
  <c r="N15" i="3"/>
  <c r="M15" i="3"/>
  <c r="L15" i="3"/>
  <c r="K15" i="3"/>
  <c r="J15" i="3"/>
  <c r="I15" i="3"/>
  <c r="H15" i="3"/>
  <c r="G15" i="3"/>
  <c r="F15" i="3"/>
  <c r="E15" i="3"/>
  <c r="D15" i="3"/>
  <c r="C15" i="3"/>
  <c r="P15" i="3" s="1"/>
  <c r="O14" i="3"/>
  <c r="O24" i="3" s="1"/>
  <c r="N14" i="3"/>
  <c r="N24" i="3" s="1"/>
  <c r="M14" i="3"/>
  <c r="M24" i="3" s="1"/>
  <c r="L14" i="3"/>
  <c r="L24" i="3" s="1"/>
  <c r="K14" i="3"/>
  <c r="K24" i="3" s="1"/>
  <c r="J14" i="3"/>
  <c r="J24" i="3" s="1"/>
  <c r="I14" i="3"/>
  <c r="I24" i="3" s="1"/>
  <c r="H14" i="3"/>
  <c r="H24" i="3" s="1"/>
  <c r="G14" i="3"/>
  <c r="G24" i="3" s="1"/>
  <c r="F14" i="3"/>
  <c r="F24" i="3" s="1"/>
  <c r="E14" i="3"/>
  <c r="E24" i="3" s="1"/>
  <c r="D14" i="3"/>
  <c r="D24" i="3" s="1"/>
  <c r="C14" i="3"/>
  <c r="O11" i="3"/>
  <c r="N11" i="3"/>
  <c r="M11" i="3"/>
  <c r="L11" i="3"/>
  <c r="K11" i="3"/>
  <c r="J11" i="3"/>
  <c r="I11" i="3"/>
  <c r="H11" i="3"/>
  <c r="G11" i="3"/>
  <c r="F11" i="3"/>
  <c r="E11" i="3"/>
  <c r="D11" i="3"/>
  <c r="C11" i="3"/>
  <c r="P11" i="3" s="1"/>
  <c r="P10" i="3"/>
  <c r="O9" i="3"/>
  <c r="O12" i="3" s="1"/>
  <c r="O25" i="3" s="1"/>
  <c r="N9" i="3"/>
  <c r="N12" i="3" s="1"/>
  <c r="N25" i="3" s="1"/>
  <c r="M9" i="3"/>
  <c r="M12" i="3" s="1"/>
  <c r="M25" i="3" s="1"/>
  <c r="L9" i="3"/>
  <c r="L12" i="3" s="1"/>
  <c r="L25" i="3" s="1"/>
  <c r="K9" i="3"/>
  <c r="K12" i="3" s="1"/>
  <c r="K25" i="3" s="1"/>
  <c r="J9" i="3"/>
  <c r="I9" i="3"/>
  <c r="I12" i="3" s="1"/>
  <c r="I25" i="3" s="1"/>
  <c r="H9" i="3"/>
  <c r="H12" i="3" s="1"/>
  <c r="H25" i="3" s="1"/>
  <c r="G9" i="3"/>
  <c r="G12" i="3" s="1"/>
  <c r="G25" i="3" s="1"/>
  <c r="F9" i="3"/>
  <c r="F12" i="3" s="1"/>
  <c r="F25" i="3" s="1"/>
  <c r="E9" i="3"/>
  <c r="E12" i="3" s="1"/>
  <c r="E25" i="3" s="1"/>
  <c r="D9" i="3"/>
  <c r="D12" i="3" s="1"/>
  <c r="D25" i="3" s="1"/>
  <c r="C9" i="3"/>
  <c r="C7" i="3"/>
  <c r="C6" i="3"/>
  <c r="D6" i="3" s="1"/>
  <c r="E6" i="3" s="1"/>
  <c r="F6" i="3" s="1"/>
  <c r="G6" i="3" s="1"/>
  <c r="H6" i="3" s="1"/>
  <c r="I6" i="3" s="1"/>
  <c r="J6" i="3" s="1"/>
  <c r="K6" i="3" s="1"/>
  <c r="L6" i="3" s="1"/>
  <c r="M6" i="3" s="1"/>
  <c r="N6" i="3" s="1"/>
  <c r="A3" i="3"/>
  <c r="C24" i="3" l="1"/>
  <c r="P14" i="3"/>
  <c r="J12" i="3"/>
  <c r="P9" i="3"/>
  <c r="B7" i="4"/>
  <c r="P7" i="3"/>
  <c r="P24" i="3" l="1"/>
  <c r="J25" i="3"/>
  <c r="P12" i="3"/>
  <c r="D7" i="3" l="1"/>
  <c r="P25" i="3"/>
  <c r="K7" i="4" s="1"/>
  <c r="S5" i="4" l="1"/>
  <c r="S6" i="4" l="1"/>
  <c r="E7" i="3"/>
  <c r="E26" i="3" s="1"/>
  <c r="S7" i="4" l="1"/>
  <c r="F7" i="3"/>
  <c r="F26" i="3" s="1"/>
  <c r="S8" i="4" l="1"/>
  <c r="G7" i="3"/>
  <c r="G26" i="3" s="1"/>
  <c r="S9" i="4" l="1"/>
  <c r="H7" i="3"/>
  <c r="H26" i="3" s="1"/>
  <c r="S10" i="4" l="1"/>
  <c r="I7" i="3"/>
  <c r="I26" i="3" s="1"/>
  <c r="S11" i="4" l="1"/>
  <c r="J7" i="3"/>
  <c r="J26" i="3" s="1"/>
  <c r="S12" i="4" l="1"/>
  <c r="K7" i="3"/>
  <c r="K26" i="3" s="1"/>
  <c r="S13" i="4" l="1"/>
  <c r="L7" i="3"/>
  <c r="L26" i="3" s="1"/>
  <c r="S14" i="4" l="1"/>
  <c r="M7" i="3"/>
  <c r="M26" i="3" s="1"/>
  <c r="S15" i="4" l="1"/>
  <c r="N7" i="3"/>
  <c r="N26" i="3" s="1"/>
  <c r="S16" i="4" l="1"/>
  <c r="O7" i="3"/>
  <c r="O26" i="3" s="1"/>
  <c r="B9" i="4" l="1"/>
  <c r="H7" i="4"/>
  <c r="P26" i="3"/>
  <c r="E7" i="4"/>
  <c r="S17" i="4"/>
</calcChain>
</file>

<file path=xl/sharedStrings.xml><?xml version="1.0" encoding="utf-8"?>
<sst xmlns="http://schemas.openxmlformats.org/spreadsheetml/2006/main" count="197" uniqueCount="146">
  <si>
    <t>13-WEEK ROLLING CASH FLOW FORECAST MODEL</t>
  </si>
  <si>
    <t>Naicents Ltd  |  Kenya Financial Consultancy  |  Client-Facing Advisory Tool</t>
  </si>
  <si>
    <t>PURPOSE</t>
  </si>
  <si>
    <t>This model provides a formula-driven 13-week rolling cash flow forecast for Kenyan SME clients. It enables Base, Stress, and Upside scenario analysis to support cash planning, working capital management, and conversations with management, boards, and lenders. No macros or VBA are used.</t>
  </si>
  <si>
    <t>WORKBOOK STRUCTURE</t>
  </si>
  <si>
    <t>INSTRUCTIONS</t>
  </si>
  <si>
    <t>This tab. Read before use.</t>
  </si>
  <si>
    <t>ASSUMPTIONS</t>
  </si>
  <si>
    <t>All editable inputs. Blue shaded cells only. Do not edit black formula cells.</t>
  </si>
  <si>
    <t>CASHFLOW</t>
  </si>
  <si>
    <t>13-week rolling model. Loan Drawdowns row accepts manual weekly input.</t>
  </si>
  <si>
    <t>DASHBOARD</t>
  </si>
  <si>
    <t>Visual summary: KPI metrics, weekly balance chart, scenario comparison.</t>
  </si>
  <si>
    <t>HOW TO USE</t>
  </si>
  <si>
    <t>Step 1</t>
  </si>
  <si>
    <t>ASSUMPTIONS tab, cell B6: Enter the Monday that begins the 13-week forecast period.</t>
  </si>
  <si>
    <t>Step 2</t>
  </si>
  <si>
    <t>ASSUMPTIONS tab, cell B7: Select Active Scenario from the dropdown (Base / Stress / Upside).</t>
  </si>
  <si>
    <t>Step 3</t>
  </si>
  <si>
    <t>ASSUMPTIONS tab, cell B8: Set the Minimum Cash Threshold (client cash buffer floor).</t>
  </si>
  <si>
    <t>Step 4</t>
  </si>
  <si>
    <t>ASSUMPTIONS tab, cell B9: Enter the opening cash and bank balance at the start of Week 1.</t>
  </si>
  <si>
    <t>Step 5</t>
  </si>
  <si>
    <t>ASSUMPTIONS tab, column B: Update Weekly Base Amounts for each category to match client actuals.</t>
  </si>
  <si>
    <t>Step 6</t>
  </si>
  <si>
    <t>ASSUMPTIONS tab, columns D-F: Adjust scenario multipliers to reflect your advisory view.</t>
  </si>
  <si>
    <t>Step 7</t>
  </si>
  <si>
    <t>CASHFLOW tab, row 10: Enter one-off Loan Drawdown amounts in relevant week columns (blue cells).</t>
  </si>
  <si>
    <t>Step 8</t>
  </si>
  <si>
    <t>Review the DASHBOARD for the balance chart, minimum cash warning, and scenario comparison.</t>
  </si>
  <si>
    <t>KRA REMITTANCE SCHEDULE</t>
  </si>
  <si>
    <t>PAYE</t>
  </si>
  <si>
    <t>Due by 9th of the following month. File P10 and remit via KRA iTax portal.</t>
  </si>
  <si>
    <t>VAT</t>
  </si>
  <si>
    <t>Due by 20th of the following month. File VAT3 return via iTax.</t>
  </si>
  <si>
    <t>NSSF</t>
  </si>
  <si>
    <t>Due by last day of each month. KES 200 employee + KES 200 employer per employee.</t>
  </si>
  <si>
    <t>NHIF / SHIF</t>
  </si>
  <si>
    <t>Due by last day of each month. Rates graduated under the SHIF framework.</t>
  </si>
  <si>
    <t>Corp. Income Tax</t>
  </si>
  <si>
    <t>Quarterly instalment payments (1st-4th). Annual return within 6 months of year-end.</t>
  </si>
  <si>
    <t>Withholding Tax</t>
  </si>
  <si>
    <t>Due by 20th of following month (professional fees, rent, dividends, etc.).</t>
  </si>
  <si>
    <t>COLOR CODING GUIDE</t>
  </si>
  <si>
    <t>Blue text on shaded cell</t>
  </si>
  <si>
    <t>Editable input. You may change this value.</t>
  </si>
  <si>
    <t>Black text on white cell</t>
  </si>
  <si>
    <t>Calculated formula. Do not edit.</t>
  </si>
  <si>
    <t>Green text on white cell</t>
  </si>
  <si>
    <t>Cross-sheet formula link. Do not edit.</t>
  </si>
  <si>
    <t>DISCLAIMER</t>
  </si>
  <si>
    <t>This model is prepared by Naicents Ltd for financial planning and advisory purposes only. It is based on client-agreed assumptions and does not constitute audited financial statements or a guarantee of future cash flows. Naicents Ltd accepts no liability for business decisions made on the basis of this forecast.</t>
  </si>
  <si>
    <t>ASSUMPTIONS &amp; SCENARIO SETTINGS</t>
  </si>
  <si>
    <t>Naicents Ltd  |  Blue cells are editable inputs  |  Do not edit formula cells (black text)</t>
  </si>
  <si>
    <t>MODEL CONFIGURATION</t>
  </si>
  <si>
    <t>Start Date (Monday of Week 1)</t>
  </si>
  <si>
    <t>Enter the Monday that begins the forecast period.</t>
  </si>
  <si>
    <t>Active Scenario</t>
  </si>
  <si>
    <t>Base</t>
  </si>
  <si>
    <t>Select from dropdown: Base | Stress | Upside</t>
  </si>
  <si>
    <t>Minimum Cash Threshold (KES)</t>
  </si>
  <si>
    <t>Dashboard warning triggers if any week closes below this amount.</t>
  </si>
  <si>
    <t>Opening Cash Balance (KES)</t>
  </si>
  <si>
    <t>Total cash + bank balance at the very start of Week 1.</t>
  </si>
  <si>
    <t>INFLOW ASSUMPTIONS</t>
  </si>
  <si>
    <t>Category</t>
  </si>
  <si>
    <t>Weekly Base (KES)</t>
  </si>
  <si>
    <t>Notes / Timing</t>
  </si>
  <si>
    <t>Stress</t>
  </si>
  <si>
    <t>Upside</t>
  </si>
  <si>
    <t>Sales Collections</t>
  </si>
  <si>
    <t>Trade receivables + cash sales</t>
  </si>
  <si>
    <t>Loan Drawdowns</t>
  </si>
  <si>
    <t>Enter directly in Cash Flow tab</t>
  </si>
  <si>
    <t>Other Income</t>
  </si>
  <si>
    <t>VAT refunds, rebates, interest received</t>
  </si>
  <si>
    <t>OUTFLOW ASSUMPTIONS</t>
  </si>
  <si>
    <t>Suppliers / Stock Purchases</t>
  </si>
  <si>
    <t>Payments to trade creditors</t>
  </si>
  <si>
    <t>Salaries &amp; Wages</t>
  </si>
  <si>
    <t>KES 250K/month spread over 4 weeks</t>
  </si>
  <si>
    <t>PAYE Remittance</t>
  </si>
  <si>
    <t>Avg KES 45K/month. KRA due 9th of following month</t>
  </si>
  <si>
    <t>VAT Remittance</t>
  </si>
  <si>
    <t>Avg KES 90K/month. KRA due 20th of following month</t>
  </si>
  <si>
    <t>NSSF Contributions</t>
  </si>
  <si>
    <t>Employee &amp; employer share. Due month-end</t>
  </si>
  <si>
    <t>NHIF / SHIF Contributions</t>
  </si>
  <si>
    <t>Social health insurance. Due month-end</t>
  </si>
  <si>
    <t>Rent</t>
  </si>
  <si>
    <t>Avg KES 85K/month. Paid at start of month</t>
  </si>
  <si>
    <t>Utilities</t>
  </si>
  <si>
    <t>Electricity, water, internet</t>
  </si>
  <si>
    <t>Loan Repayments</t>
  </si>
  <si>
    <t>Avg KES 60K/month. Bank instalment</t>
  </si>
  <si>
    <t>Other Overheads</t>
  </si>
  <si>
    <t>Admin, transport, sundry expenses</t>
  </si>
  <si>
    <t>SCENARIO GUIDE</t>
  </si>
  <si>
    <t>Normal operating conditions. All multipliers = 1.00x.</t>
  </si>
  <si>
    <t>Revenue decline (sales -30%, other income -20%) + cost pressures (suppliers +10%, utilities +20%, overheads +10%). Models slow collections or supply disruption.</t>
  </si>
  <si>
    <t>Strong trading (sales +20%, other income +10%) + efficiencies (suppliers -10%, utilities -10%, overheads -10%). Models a peak sales quarter.</t>
  </si>
  <si>
    <t>13-WEEK ROLLING CASH FLOW FORECAST</t>
  </si>
  <si>
    <t>Description</t>
  </si>
  <si>
    <t>Notes</t>
  </si>
  <si>
    <t>Wk 1</t>
  </si>
  <si>
    <t>Wk 2</t>
  </si>
  <si>
    <t>Wk 3</t>
  </si>
  <si>
    <t>Wk 4</t>
  </si>
  <si>
    <t>Wk 5</t>
  </si>
  <si>
    <t>Wk 6</t>
  </si>
  <si>
    <t>Wk 7</t>
  </si>
  <si>
    <t>Wk 8</t>
  </si>
  <si>
    <t>Wk 9</t>
  </si>
  <si>
    <t>Wk 10</t>
  </si>
  <si>
    <t>Wk 11</t>
  </si>
  <si>
    <t>Wk 12</t>
  </si>
  <si>
    <t>Wk 13</t>
  </si>
  <si>
    <t>13-WK TOTAL</t>
  </si>
  <si>
    <t>Week Commencing</t>
  </si>
  <si>
    <t>OPENING BALANCE</t>
  </si>
  <si>
    <t>Cash &amp; bank balance at start of each week</t>
  </si>
  <si>
    <t>INFLOWS</t>
  </si>
  <si>
    <t>Enter one-off receipts in weekly cells below (blue cells)</t>
  </si>
  <si>
    <t>TOTAL INFLOWS</t>
  </si>
  <si>
    <t>OUTFLOWS</t>
  </si>
  <si>
    <t>TOTAL OUTFLOWS</t>
  </si>
  <si>
    <t>NET CASH MOVEMENT</t>
  </si>
  <si>
    <t>CLOSING BALANCE</t>
  </si>
  <si>
    <t>Remittance timing note: Weekly amounts shown are normalized averages. PAYE is due to KRA by the 9th of the following month; VAT by the 20th; NSSF and NHIF/SHIF by the last day of the month. Adjust actual week input cells for client-specific timing if required.</t>
  </si>
  <si>
    <t>CASH FLOW DASHBOARD</t>
  </si>
  <si>
    <t>Week</t>
  </si>
  <si>
    <t>Closing Balance (KES)</t>
  </si>
  <si>
    <t>KEY METRICS</t>
  </si>
  <si>
    <t>Opening Balance (KES)</t>
  </si>
  <si>
    <t>13-Week Closing Balance (KES)</t>
  </si>
  <si>
    <t>Minimum Weekly Balance (KES)</t>
  </si>
  <si>
    <t>Total Net Movement (KES)</t>
  </si>
  <si>
    <t>SCENARIO COMPARISON  (13-WEEK CLOSING BALANCE)</t>
  </si>
  <si>
    <t>Scenario</t>
  </si>
  <si>
    <t>End Balance (KES)</t>
  </si>
  <si>
    <t>Variance vs Base (KES)</t>
  </si>
  <si>
    <t>Interpretation</t>
  </si>
  <si>
    <t>-</t>
  </si>
  <si>
    <t>Normal operations. Use as baseline planning scenario.</t>
  </si>
  <si>
    <t>Revenue decline + cost pressure. Test for covenant and liquidity risk.</t>
  </si>
  <si>
    <t>Strong trading + cost efficiencies. Assess growth 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</si>
</sst>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charset val="1"/>
    </font>
    <font>
      <b/>
      <sz val="14"/>
      <color rgb="FFFFFFFF"/>
      <name val="Calibri"/>
      <charset val="1"/>
    </font>
    <font>
      <b/>
      <sz val="10"/>
      <color rgb="FFFFFFFF"/>
      <name val="Calibri"/>
      <charset val="1"/>
    </font>
    <font>
      <b/>
      <sz val="11"/>
      <color rgb="FFFFFFFF"/>
      <name val="Calibri"/>
      <charset val="1"/>
    </font>
    <font>
      <sz val="10"/>
      <color rgb="FF000000"/>
      <name val="Calibri"/>
      <charset val="1"/>
    </font>
    <font>
      <b/>
      <sz val="10"/>
      <color rgb="FF000000"/>
      <name val="Calibri"/>
      <charset val="1"/>
    </font>
    <font>
      <sz val="10"/>
      <color rgb="FF1F3864"/>
      <name val="Calibri"/>
      <charset val="1"/>
    </font>
    <font>
      <sz val="10"/>
      <color rgb="FF595959"/>
      <name val="Calibri"/>
      <charset val="1"/>
    </font>
    <font>
      <b/>
      <sz val="10"/>
      <color rgb="FF1F3864"/>
      <name val="Calibri"/>
      <charset val="1"/>
    </font>
    <font>
      <sz val="10"/>
      <color rgb="FF375623"/>
      <name val="Calibri"/>
      <charset val="1"/>
    </font>
    <font>
      <b/>
      <sz val="10"/>
      <color rgb="FF375623"/>
      <name val="Calibri"/>
      <charset val="1"/>
    </font>
    <font>
      <b/>
      <sz val="10"/>
      <color rgb="FFC00000"/>
      <name val="Calibri"/>
      <charset val="1"/>
    </font>
    <font>
      <sz val="10"/>
      <color rgb="FF7F4C00"/>
      <name val="Calibri"/>
      <charset val="1"/>
    </font>
    <font>
      <b/>
      <sz val="14"/>
      <color rgb="FF17375E"/>
      <name val="Calibri"/>
      <charset val="1"/>
    </font>
    <font>
      <b/>
      <sz val="11"/>
      <color rgb="FF7F4C00"/>
      <name val="Calibri"/>
      <charset val="1"/>
    </font>
  </fonts>
  <fills count="13">
    <fill>
      <patternFill patternType="none"/>
    </fill>
    <fill>
      <patternFill patternType="gray125"/>
    </fill>
    <fill>
      <patternFill patternType="solid">
        <fgColor rgb="FF17375E"/>
        <bgColor rgb="FF1F3864"/>
      </patternFill>
    </fill>
    <fill>
      <patternFill patternType="solid">
        <fgColor rgb="FF2E74B5"/>
        <bgColor rgb="FF0066CC"/>
      </patternFill>
    </fill>
    <fill>
      <patternFill patternType="solid">
        <fgColor rgb="FFF2F7FB"/>
        <bgColor rgb="FFEFF7FF"/>
      </patternFill>
    </fill>
    <fill>
      <patternFill patternType="solid">
        <fgColor rgb="FFFFFFFF"/>
        <bgColor rgb="FFFFF8F5"/>
      </patternFill>
    </fill>
    <fill>
      <patternFill patternType="solid">
        <fgColor rgb="FFDEEAF1"/>
        <bgColor rgb="FFE2EFDA"/>
      </patternFill>
    </fill>
    <fill>
      <patternFill patternType="solid">
        <fgColor rgb="FFFFF2CC"/>
        <bgColor rgb="FFFFF8F5"/>
      </patternFill>
    </fill>
    <fill>
      <patternFill patternType="solid">
        <fgColor rgb="FFE2EFDA"/>
        <bgColor rgb="FFD9EAD3"/>
      </patternFill>
    </fill>
    <fill>
      <patternFill patternType="solid">
        <fgColor rgb="FFBDD7EE"/>
        <bgColor rgb="FFD9D9D9"/>
      </patternFill>
    </fill>
    <fill>
      <patternFill patternType="solid">
        <fgColor rgb="FFEFF7FF"/>
        <bgColor rgb="FFF2F7FB"/>
      </patternFill>
    </fill>
    <fill>
      <patternFill patternType="solid">
        <fgColor rgb="FFFFF8F5"/>
        <bgColor rgb="FFFFFFFF"/>
      </patternFill>
    </fill>
    <fill>
      <patternFill patternType="solid">
        <fgColor rgb="FFD9EAD3"/>
        <bgColor rgb="FFE2EFDA"/>
      </patternFill>
    </fill>
  </fills>
  <borders count="2">
    <border>
      <left/>
      <right/>
      <top/>
      <bottom/>
      <diagonal/>
    </border>
    <border>
      <left style="thin">
        <color rgb="FF9DC3E6"/>
      </left>
      <right style="thin">
        <color rgb="FF9DC3E6"/>
      </right>
      <top style="thin">
        <color rgb="FF9DC3E6"/>
      </top>
      <bottom style="thin">
        <color rgb="FF9DC3E6"/>
      </bottom>
      <diagonal/>
    </border>
  </borders>
  <cellStyleXfs count="1">
    <xf numFmtId="0" fontId="0" fillId="0" borderId="0"/>
  </cellStyleXfs>
  <cellXfs count="69">
    <xf numFmtId="0" fontId="0" fillId="0" borderId="0" xfId="0"/>
    <xf numFmtId="0" fontId="4" fillId="8" borderId="1" xfId="0" applyFont="1" applyFill="1" applyBorder="1" applyAlignment="1">
      <alignment horizontal="left" vertical="center"/>
    </xf>
    <xf numFmtId="0" fontId="4" fillId="7" borderId="1" xfId="0" applyFont="1" applyFill="1" applyBorder="1" applyAlignment="1">
      <alignment horizontal="left" vertical="center"/>
    </xf>
    <xf numFmtId="0" fontId="4" fillId="5" borderId="1" xfId="0" applyFont="1" applyFill="1" applyBorder="1" applyAlignment="1">
      <alignment horizontal="left" vertical="center"/>
    </xf>
    <xf numFmtId="0" fontId="14" fillId="7" borderId="1" xfId="0" applyFont="1" applyFill="1" applyBorder="1" applyAlignment="1">
      <alignment horizontal="left" vertical="center" wrapText="1"/>
    </xf>
    <xf numFmtId="0" fontId="3" fillId="3" borderId="1" xfId="0" applyFont="1" applyFill="1" applyBorder="1" applyAlignment="1">
      <alignment horizontal="left" vertical="center"/>
    </xf>
    <xf numFmtId="0" fontId="12" fillId="7"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3" fillId="2" borderId="1" xfId="0" applyFont="1" applyFill="1" applyBorder="1" applyAlignment="1">
      <alignment horizontal="left" vertical="center"/>
    </xf>
    <xf numFmtId="0" fontId="2" fillId="3" borderId="1" xfId="0" applyFont="1" applyFill="1" applyBorder="1" applyAlignment="1">
      <alignment horizontal="left" vertical="center"/>
    </xf>
    <xf numFmtId="0" fontId="1" fillId="2" borderId="1" xfId="0" applyFont="1" applyFill="1" applyBorder="1" applyAlignment="1">
      <alignment horizontal="left" vertical="center"/>
    </xf>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xf>
    <xf numFmtId="0" fontId="5" fillId="5" borderId="1" xfId="0" applyFont="1" applyFill="1" applyBorder="1" applyAlignment="1">
      <alignment horizontal="left" vertical="center"/>
    </xf>
    <xf numFmtId="0" fontId="4" fillId="5" borderId="1" xfId="0" applyFont="1" applyFill="1" applyBorder="1" applyAlignment="1">
      <alignment horizontal="left" vertical="center" wrapText="1"/>
    </xf>
    <xf numFmtId="15" fontId="6" fillId="6" borderId="1" xfId="0" applyNumberFormat="1" applyFont="1" applyFill="1" applyBorder="1" applyAlignment="1">
      <alignment horizontal="right" vertical="center"/>
    </xf>
    <xf numFmtId="0" fontId="7" fillId="4" borderId="1" xfId="0" applyFont="1" applyFill="1" applyBorder="1" applyAlignment="1">
      <alignment horizontal="left" vertical="center"/>
    </xf>
    <xf numFmtId="0" fontId="4" fillId="4" borderId="1" xfId="0" applyFont="1" applyFill="1" applyBorder="1" applyAlignment="1">
      <alignment horizontal="left" vertical="center"/>
    </xf>
    <xf numFmtId="49" fontId="6" fillId="6" borderId="1" xfId="0" applyNumberFormat="1" applyFont="1" applyFill="1" applyBorder="1" applyAlignment="1">
      <alignment horizontal="right" vertical="center"/>
    </xf>
    <xf numFmtId="164" fontId="6" fillId="6" borderId="1" xfId="0" applyNumberFormat="1" applyFont="1" applyFill="1" applyBorder="1" applyAlignment="1">
      <alignment horizontal="right"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2" fontId="6" fillId="6" borderId="1" xfId="0" applyNumberFormat="1" applyFont="1" applyFill="1" applyBorder="1" applyAlignment="1">
      <alignment horizontal="right" vertical="center"/>
    </xf>
    <xf numFmtId="0" fontId="4" fillId="5" borderId="1" xfId="0" applyFont="1" applyFill="1" applyBorder="1" applyAlignment="1">
      <alignment horizontal="left" vertical="center"/>
    </xf>
    <xf numFmtId="0" fontId="7" fillId="5" borderId="1" xfId="0" applyFont="1" applyFill="1" applyBorder="1" applyAlignment="1">
      <alignment horizontal="left" vertical="center"/>
    </xf>
    <xf numFmtId="0" fontId="5" fillId="7" borderId="1" xfId="0" applyFont="1" applyFill="1" applyBorder="1" applyAlignment="1">
      <alignment horizontal="left" vertical="center"/>
    </xf>
    <xf numFmtId="0" fontId="5" fillId="8" borderId="1" xfId="0" applyFont="1" applyFill="1" applyBorder="1" applyAlignment="1">
      <alignment horizontal="left" vertical="center"/>
    </xf>
    <xf numFmtId="0" fontId="2"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8" fillId="4" borderId="1" xfId="0" applyFont="1" applyFill="1" applyBorder="1" applyAlignment="1">
      <alignment horizontal="left" vertical="center"/>
    </xf>
    <xf numFmtId="15" fontId="9" fillId="4" borderId="1" xfId="0" applyNumberFormat="1" applyFont="1" applyFill="1" applyBorder="1" applyAlignment="1">
      <alignment horizontal="right" vertical="center"/>
    </xf>
    <xf numFmtId="0" fontId="8" fillId="9" borderId="1" xfId="0" applyFont="1" applyFill="1" applyBorder="1" applyAlignment="1">
      <alignment horizontal="left" vertical="center"/>
    </xf>
    <xf numFmtId="0" fontId="7" fillId="9" borderId="1" xfId="0" applyFont="1" applyFill="1" applyBorder="1" applyAlignment="1">
      <alignment horizontal="left" vertical="center"/>
    </xf>
    <xf numFmtId="164" fontId="10" fillId="9" borderId="1" xfId="0" applyNumberFormat="1" applyFont="1" applyFill="1" applyBorder="1" applyAlignment="1">
      <alignment horizontal="right" vertical="center"/>
    </xf>
    <xf numFmtId="0" fontId="4" fillId="10" borderId="1" xfId="0" applyFont="1" applyFill="1" applyBorder="1" applyAlignment="1">
      <alignment horizontal="left" vertical="center" indent="1"/>
    </xf>
    <xf numFmtId="0" fontId="7" fillId="10" borderId="1" xfId="0" applyFont="1" applyFill="1" applyBorder="1" applyAlignment="1">
      <alignment horizontal="left" vertical="center"/>
    </xf>
    <xf numFmtId="164" fontId="4" fillId="10" borderId="1" xfId="0" applyNumberFormat="1" applyFont="1" applyFill="1" applyBorder="1" applyAlignment="1">
      <alignment horizontal="right" vertical="center"/>
    </xf>
    <xf numFmtId="164" fontId="4" fillId="9" borderId="1" xfId="0" applyNumberFormat="1" applyFont="1" applyFill="1" applyBorder="1" applyAlignment="1">
      <alignment horizontal="right" vertical="center"/>
    </xf>
    <xf numFmtId="0" fontId="4" fillId="5" borderId="1" xfId="0" applyFont="1" applyFill="1" applyBorder="1" applyAlignment="1">
      <alignment horizontal="left" vertical="center" indent="1"/>
    </xf>
    <xf numFmtId="0" fontId="4" fillId="9" borderId="1" xfId="0" applyFont="1" applyFill="1" applyBorder="1" applyAlignment="1">
      <alignment horizontal="left" vertical="center"/>
    </xf>
    <xf numFmtId="164" fontId="5" fillId="9" borderId="1" xfId="0" applyNumberFormat="1" applyFont="1" applyFill="1" applyBorder="1" applyAlignment="1">
      <alignment horizontal="right" vertical="center"/>
    </xf>
    <xf numFmtId="0" fontId="4" fillId="11" borderId="1" xfId="0" applyFont="1" applyFill="1" applyBorder="1" applyAlignment="1">
      <alignment horizontal="left" vertical="center" indent="1"/>
    </xf>
    <xf numFmtId="0" fontId="7" fillId="11" borderId="1" xfId="0" applyFont="1" applyFill="1" applyBorder="1" applyAlignment="1">
      <alignment horizontal="left" vertical="center"/>
    </xf>
    <xf numFmtId="164" fontId="4" fillId="11" borderId="1" xfId="0" applyNumberFormat="1" applyFont="1" applyFill="1" applyBorder="1" applyAlignment="1">
      <alignment horizontal="right" vertical="center"/>
    </xf>
    <xf numFmtId="164" fontId="4" fillId="5" borderId="1" xfId="0" applyNumberFormat="1" applyFont="1" applyFill="1" applyBorder="1" applyAlignment="1">
      <alignment horizontal="right" vertical="center"/>
    </xf>
    <xf numFmtId="0" fontId="11" fillId="9" borderId="1" xfId="0" applyFont="1" applyFill="1" applyBorder="1" applyAlignment="1">
      <alignment horizontal="left" vertical="center"/>
    </xf>
    <xf numFmtId="0" fontId="8" fillId="12" borderId="1" xfId="0" applyFont="1" applyFill="1" applyBorder="1" applyAlignment="1">
      <alignment horizontal="left" vertical="center"/>
    </xf>
    <xf numFmtId="0" fontId="4" fillId="12" borderId="1" xfId="0" applyFont="1" applyFill="1" applyBorder="1" applyAlignment="1">
      <alignment horizontal="left" vertical="center"/>
    </xf>
    <xf numFmtId="164" fontId="5" fillId="12" borderId="1" xfId="0" applyNumberFormat="1" applyFont="1" applyFill="1" applyBorder="1" applyAlignment="1">
      <alignment horizontal="right" vertical="center"/>
    </xf>
    <xf numFmtId="0" fontId="2" fillId="2" borderId="1" xfId="0" applyFont="1" applyFill="1" applyBorder="1" applyAlignment="1">
      <alignment horizontal="left" vertical="center"/>
    </xf>
    <xf numFmtId="0" fontId="4" fillId="2" borderId="1" xfId="0" applyFont="1" applyFill="1" applyBorder="1" applyAlignment="1">
      <alignment horizontal="left" vertical="center"/>
    </xf>
    <xf numFmtId="164" fontId="2" fillId="2" borderId="1" xfId="0" applyNumberFormat="1" applyFont="1" applyFill="1" applyBorder="1" applyAlignment="1">
      <alignment horizontal="right" vertical="center"/>
    </xf>
    <xf numFmtId="0" fontId="4" fillId="4" borderId="1" xfId="0" applyFont="1" applyFill="1" applyBorder="1" applyAlignment="1">
      <alignment horizontal="center" vertical="center"/>
    </xf>
    <xf numFmtId="164" fontId="9" fillId="5" borderId="1" xfId="0" applyNumberFormat="1" applyFont="1" applyFill="1" applyBorder="1" applyAlignment="1">
      <alignment horizontal="right" vertical="center"/>
    </xf>
    <xf numFmtId="164" fontId="13" fillId="5" borderId="1" xfId="0" applyNumberFormat="1" applyFont="1" applyFill="1" applyBorder="1" applyAlignment="1">
      <alignment horizontal="right" vertical="center"/>
    </xf>
    <xf numFmtId="0" fontId="4" fillId="3" borderId="1" xfId="0" applyFont="1" applyFill="1" applyBorder="1" applyAlignment="1">
      <alignment horizontal="left" vertical="center"/>
    </xf>
    <xf numFmtId="0" fontId="5" fillId="5" borderId="1" xfId="0" applyFont="1" applyFill="1" applyBorder="1" applyAlignment="1">
      <alignment horizontal="center" vertical="center"/>
    </xf>
    <xf numFmtId="164" fontId="5" fillId="5" borderId="1" xfId="0" applyNumberFormat="1" applyFont="1" applyFill="1" applyBorder="1" applyAlignment="1">
      <alignment horizontal="right" vertical="center"/>
    </xf>
    <xf numFmtId="0" fontId="4" fillId="5" borderId="1" xfId="0" applyFont="1" applyFill="1" applyBorder="1" applyAlignment="1">
      <alignment horizontal="center" vertical="center"/>
    </xf>
    <xf numFmtId="0" fontId="5" fillId="7" borderId="1" xfId="0" applyFont="1" applyFill="1" applyBorder="1" applyAlignment="1">
      <alignment horizontal="center" vertical="center"/>
    </xf>
    <xf numFmtId="164" fontId="5" fillId="7" borderId="1" xfId="0" applyNumberFormat="1" applyFont="1" applyFill="1" applyBorder="1" applyAlignment="1">
      <alignment horizontal="right" vertical="center"/>
    </xf>
    <xf numFmtId="164" fontId="4" fillId="7" borderId="1" xfId="0" applyNumberFormat="1" applyFont="1" applyFill="1" applyBorder="1" applyAlignment="1">
      <alignment horizontal="right" vertical="center"/>
    </xf>
    <xf numFmtId="0" fontId="5" fillId="8" borderId="1" xfId="0" applyFont="1" applyFill="1" applyBorder="1" applyAlignment="1">
      <alignment horizontal="center" vertical="center"/>
    </xf>
    <xf numFmtId="164" fontId="5" fillId="8" borderId="1" xfId="0" applyNumberFormat="1" applyFont="1" applyFill="1" applyBorder="1" applyAlignment="1">
      <alignment horizontal="right" vertical="center"/>
    </xf>
    <xf numFmtId="164" fontId="4" fillId="8" borderId="1" xfId="0" applyNumberFormat="1" applyFont="1" applyFill="1" applyBorder="1" applyAlignment="1">
      <alignment horizontal="right" vertical="center"/>
    </xf>
    <xf numFmtId="0" fontId="3"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993366"/>
      <rgbColor rgb="FFFFF2CC"/>
      <rgbColor rgb="FFDEEA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FF7FF"/>
      <rgbColor rgb="FFD9EAD3"/>
      <rgbColor rgb="FFE2EFDA"/>
      <rgbColor rgb="FF9DC3E6"/>
      <rgbColor rgb="FFF2F7FB"/>
      <rgbColor rgb="FFCC99FF"/>
      <rgbColor rgb="FFFFF8F5"/>
      <rgbColor rgb="FF2E74B5"/>
      <rgbColor rgb="FF33CCCC"/>
      <rgbColor rgb="FF99CC00"/>
      <rgbColor rgb="FFFFCC00"/>
      <rgbColor rgb="FFFF9900"/>
      <rgbColor rgb="FFFF6600"/>
      <rgbColor rgb="FF595959"/>
      <rgbColor rgb="FF969696"/>
      <rgbColor rgb="FF17375E"/>
      <rgbColor rgb="FF339966"/>
      <rgbColor rgb="FF003300"/>
      <rgbColor rgb="FF375623"/>
      <rgbColor rgb="FF7F4C00"/>
      <rgbColor rgb="FF993366"/>
      <rgbColor rgb="FF333399"/>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Weekly Closing Cash Balance (KES)</a:t>
            </a:r>
          </a:p>
        </c:rich>
      </c:tx>
      <c:overlay val="0"/>
      <c:spPr>
        <a:noFill/>
        <a:ln w="0">
          <a:noFill/>
        </a:ln>
      </c:spPr>
    </c:title>
    <c:autoTitleDeleted val="0"/>
    <c:plotArea>
      <c:layout/>
      <c:barChart>
        <c:barDir val="col"/>
        <c:grouping val="clustered"/>
        <c:varyColors val="0"/>
        <c:ser>
          <c:idx val="0"/>
          <c:order val="0"/>
          <c:tx>
            <c:strRef>
              <c:f>DASHBOARD!$S$4</c:f>
              <c:strCache>
                <c:ptCount val="1"/>
                <c:pt idx="0">
                  <c:v>Closing Balance (KES)</c:v>
                </c:pt>
              </c:strCache>
            </c:strRef>
          </c:tx>
          <c:spPr>
            <a:solidFill>
              <a:srgbClr val="2E74B5"/>
            </a:solidFill>
            <a:ln w="0">
              <a:noFill/>
            </a:ln>
          </c:spPr>
          <c:invertIfNegative val="0"/>
          <c:dLbls>
            <c:spPr>
              <a:noFill/>
              <a:ln>
                <a:noFill/>
              </a:ln>
              <a:effectLst/>
            </c:spPr>
            <c:txPr>
              <a:bodyPr wrap="none"/>
              <a:lstStyle/>
              <a:p>
                <a:pPr>
                  <a:defRPr sz="1000" b="0" strike="noStrike" spc="-1">
                    <a:latin typeface="Arial"/>
                  </a:defRPr>
                </a:pPr>
                <a:endParaRPr lang="en-K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DASHBOARD!$R$5:$R$17</c:f>
              <c:strCache>
                <c:ptCount val="13"/>
                <c:pt idx="0">
                  <c:v>Wk 1</c:v>
                </c:pt>
                <c:pt idx="1">
                  <c:v>Wk 2</c:v>
                </c:pt>
                <c:pt idx="2">
                  <c:v>Wk 3</c:v>
                </c:pt>
                <c:pt idx="3">
                  <c:v>Wk 4</c:v>
                </c:pt>
                <c:pt idx="4">
                  <c:v>Wk 5</c:v>
                </c:pt>
                <c:pt idx="5">
                  <c:v>Wk 6</c:v>
                </c:pt>
                <c:pt idx="6">
                  <c:v>Wk 7</c:v>
                </c:pt>
                <c:pt idx="7">
                  <c:v>Wk 8</c:v>
                </c:pt>
                <c:pt idx="8">
                  <c:v>Wk 9</c:v>
                </c:pt>
                <c:pt idx="9">
                  <c:v>Wk 10</c:v>
                </c:pt>
                <c:pt idx="10">
                  <c:v>Wk 11</c:v>
                </c:pt>
                <c:pt idx="11">
                  <c:v>Wk 12</c:v>
                </c:pt>
                <c:pt idx="12">
                  <c:v>Wk 13</c:v>
                </c:pt>
              </c:strCache>
            </c:strRef>
          </c:cat>
          <c:val>
            <c:numRef>
              <c:f>DASHBOARD!$S$5:$S$17</c:f>
              <c:numCache>
                <c:formatCode>#,##0;\(#,##0\);\-</c:formatCode>
                <c:ptCount val="13"/>
                <c:pt idx="0">
                  <c:v>1180750</c:v>
                </c:pt>
                <c:pt idx="1">
                  <c:v>1511500</c:v>
                </c:pt>
                <c:pt idx="2">
                  <c:v>1842250</c:v>
                </c:pt>
                <c:pt idx="3">
                  <c:v>2173000</c:v>
                </c:pt>
                <c:pt idx="4">
                  <c:v>2503750</c:v>
                </c:pt>
                <c:pt idx="5">
                  <c:v>2834500</c:v>
                </c:pt>
                <c:pt idx="6">
                  <c:v>3165250</c:v>
                </c:pt>
                <c:pt idx="7">
                  <c:v>3496000</c:v>
                </c:pt>
                <c:pt idx="8">
                  <c:v>3826750</c:v>
                </c:pt>
                <c:pt idx="9">
                  <c:v>4157500</c:v>
                </c:pt>
                <c:pt idx="10">
                  <c:v>4488250</c:v>
                </c:pt>
                <c:pt idx="11">
                  <c:v>4819000</c:v>
                </c:pt>
                <c:pt idx="12">
                  <c:v>5149750</c:v>
                </c:pt>
              </c:numCache>
            </c:numRef>
          </c:val>
          <c:extLst>
            <c:ext xmlns:c16="http://schemas.microsoft.com/office/drawing/2014/chart" uri="{C3380CC4-5D6E-409C-BE32-E72D297353CC}">
              <c16:uniqueId val="{00000000-E4FF-4824-A7B3-3B2DEBA0FC84}"/>
            </c:ext>
          </c:extLst>
        </c:ser>
        <c:dLbls>
          <c:showLegendKey val="0"/>
          <c:showVal val="0"/>
          <c:showCatName val="0"/>
          <c:showSerName val="0"/>
          <c:showPercent val="0"/>
          <c:showBubbleSize val="0"/>
        </c:dLbls>
        <c:gapWidth val="150"/>
        <c:axId val="84651680"/>
        <c:axId val="10288480"/>
      </c:barChart>
      <c:catAx>
        <c:axId val="84651680"/>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Week</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KE"/>
          </a:p>
        </c:txPr>
        <c:crossAx val="10288480"/>
        <c:crosses val="autoZero"/>
        <c:auto val="1"/>
        <c:lblAlgn val="ctr"/>
        <c:lblOffset val="100"/>
        <c:noMultiLvlLbl val="0"/>
      </c:catAx>
      <c:valAx>
        <c:axId val="1028848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KES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KE"/>
          </a:p>
        </c:txPr>
        <c:crossAx val="8465168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K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xdr:row>
      <xdr:rowOff>0</xdr:rowOff>
    </xdr:from>
    <xdr:to>
      <xdr:col>7</xdr:col>
      <xdr:colOff>598515</xdr:colOff>
      <xdr:row>28</xdr:row>
      <xdr:rowOff>103680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75E"/>
  </sheetPr>
  <dimension ref="B2:C38"/>
  <sheetViews>
    <sheetView showGridLines="0" zoomScaleNormal="100" workbookViewId="0">
      <selection activeCell="I38" sqref="I38"/>
    </sheetView>
  </sheetViews>
  <sheetFormatPr defaultColWidth="8.7109375" defaultRowHeight="15" x14ac:dyDescent="0.25"/>
  <cols>
    <col min="1" max="1" width="4" customWidth="1"/>
    <col min="2" max="2" width="28" customWidth="1"/>
    <col min="3" max="3" width="58" customWidth="1"/>
  </cols>
  <sheetData>
    <row r="2" spans="2:3" ht="18.75" x14ac:dyDescent="0.25">
      <c r="B2" s="13" t="s">
        <v>0</v>
      </c>
      <c r="C2" s="13"/>
    </row>
    <row r="3" spans="2:3" x14ac:dyDescent="0.25">
      <c r="B3" s="12" t="s">
        <v>1</v>
      </c>
      <c r="C3" s="12"/>
    </row>
    <row r="5" spans="2:3" x14ac:dyDescent="0.25">
      <c r="B5" s="11" t="s">
        <v>2</v>
      </c>
      <c r="C5" s="11"/>
    </row>
    <row r="6" spans="2:3" ht="50.25" customHeight="1" x14ac:dyDescent="0.25">
      <c r="B6" s="10" t="s">
        <v>3</v>
      </c>
      <c r="C6" s="10"/>
    </row>
    <row r="8" spans="2:3" x14ac:dyDescent="0.25">
      <c r="B8" s="11" t="s">
        <v>4</v>
      </c>
      <c r="C8" s="11"/>
    </row>
    <row r="9" spans="2:3" x14ac:dyDescent="0.25">
      <c r="B9" s="15" t="s">
        <v>5</v>
      </c>
      <c r="C9" s="14" t="s">
        <v>6</v>
      </c>
    </row>
    <row r="10" spans="2:3" ht="25.5" x14ac:dyDescent="0.25">
      <c r="B10" s="16" t="s">
        <v>7</v>
      </c>
      <c r="C10" s="17" t="s">
        <v>8</v>
      </c>
    </row>
    <row r="11" spans="2:3" ht="25.5" x14ac:dyDescent="0.25">
      <c r="B11" s="15" t="s">
        <v>9</v>
      </c>
      <c r="C11" s="14" t="s">
        <v>10</v>
      </c>
    </row>
    <row r="12" spans="2:3" ht="25.5" x14ac:dyDescent="0.25">
      <c r="B12" s="16" t="s">
        <v>11</v>
      </c>
      <c r="C12" s="17" t="s">
        <v>12</v>
      </c>
    </row>
    <row r="14" spans="2:3" x14ac:dyDescent="0.25">
      <c r="B14" s="11" t="s">
        <v>13</v>
      </c>
      <c r="C14" s="11"/>
    </row>
    <row r="15" spans="2:3" ht="25.5" x14ac:dyDescent="0.25">
      <c r="B15" s="15" t="s">
        <v>14</v>
      </c>
      <c r="C15" s="14" t="s">
        <v>15</v>
      </c>
    </row>
    <row r="16" spans="2:3" ht="25.5" x14ac:dyDescent="0.25">
      <c r="B16" s="16" t="s">
        <v>16</v>
      </c>
      <c r="C16" s="17" t="s">
        <v>17</v>
      </c>
    </row>
    <row r="17" spans="2:3" ht="25.5" x14ac:dyDescent="0.25">
      <c r="B17" s="15" t="s">
        <v>18</v>
      </c>
      <c r="C17" s="14" t="s">
        <v>19</v>
      </c>
    </row>
    <row r="18" spans="2:3" ht="25.5" x14ac:dyDescent="0.25">
      <c r="B18" s="16" t="s">
        <v>20</v>
      </c>
      <c r="C18" s="17" t="s">
        <v>21</v>
      </c>
    </row>
    <row r="19" spans="2:3" ht="25.5" x14ac:dyDescent="0.25">
      <c r="B19" s="15" t="s">
        <v>22</v>
      </c>
      <c r="C19" s="14" t="s">
        <v>23</v>
      </c>
    </row>
    <row r="20" spans="2:3" ht="25.5" x14ac:dyDescent="0.25">
      <c r="B20" s="16" t="s">
        <v>24</v>
      </c>
      <c r="C20" s="17" t="s">
        <v>25</v>
      </c>
    </row>
    <row r="21" spans="2:3" ht="25.5" x14ac:dyDescent="0.25">
      <c r="B21" s="15" t="s">
        <v>26</v>
      </c>
      <c r="C21" s="14" t="s">
        <v>27</v>
      </c>
    </row>
    <row r="22" spans="2:3" ht="25.5" x14ac:dyDescent="0.25">
      <c r="B22" s="16" t="s">
        <v>28</v>
      </c>
      <c r="C22" s="17" t="s">
        <v>29</v>
      </c>
    </row>
    <row r="24" spans="2:3" x14ac:dyDescent="0.25">
      <c r="B24" s="11" t="s">
        <v>30</v>
      </c>
      <c r="C24" s="11"/>
    </row>
    <row r="25" spans="2:3" ht="25.5" x14ac:dyDescent="0.25">
      <c r="B25" s="15" t="s">
        <v>31</v>
      </c>
      <c r="C25" s="14" t="s">
        <v>32</v>
      </c>
    </row>
    <row r="26" spans="2:3" x14ac:dyDescent="0.25">
      <c r="B26" s="16" t="s">
        <v>33</v>
      </c>
      <c r="C26" s="17" t="s">
        <v>34</v>
      </c>
    </row>
    <row r="27" spans="2:3" ht="25.5" x14ac:dyDescent="0.25">
      <c r="B27" s="15" t="s">
        <v>35</v>
      </c>
      <c r="C27" s="14" t="s">
        <v>36</v>
      </c>
    </row>
    <row r="28" spans="2:3" ht="25.5" x14ac:dyDescent="0.25">
      <c r="B28" s="16" t="s">
        <v>37</v>
      </c>
      <c r="C28" s="17" t="s">
        <v>38</v>
      </c>
    </row>
    <row r="29" spans="2:3" ht="25.5" x14ac:dyDescent="0.25">
      <c r="B29" s="15" t="s">
        <v>39</v>
      </c>
      <c r="C29" s="14" t="s">
        <v>40</v>
      </c>
    </row>
    <row r="30" spans="2:3" ht="25.5" x14ac:dyDescent="0.25">
      <c r="B30" s="16" t="s">
        <v>41</v>
      </c>
      <c r="C30" s="17" t="s">
        <v>42</v>
      </c>
    </row>
    <row r="32" spans="2:3" x14ac:dyDescent="0.25">
      <c r="B32" s="11" t="s">
        <v>43</v>
      </c>
      <c r="C32" s="11"/>
    </row>
    <row r="33" spans="2:3" x14ac:dyDescent="0.25">
      <c r="B33" s="15" t="s">
        <v>44</v>
      </c>
      <c r="C33" s="14" t="s">
        <v>45</v>
      </c>
    </row>
    <row r="34" spans="2:3" x14ac:dyDescent="0.25">
      <c r="B34" s="16" t="s">
        <v>46</v>
      </c>
      <c r="C34" s="17" t="s">
        <v>47</v>
      </c>
    </row>
    <row r="35" spans="2:3" x14ac:dyDescent="0.25">
      <c r="B35" s="15" t="s">
        <v>48</v>
      </c>
      <c r="C35" s="14" t="s">
        <v>49</v>
      </c>
    </row>
    <row r="37" spans="2:3" x14ac:dyDescent="0.25">
      <c r="B37" s="11" t="s">
        <v>50</v>
      </c>
      <c r="C37" s="11"/>
    </row>
    <row r="38" spans="2:3" ht="46.5" customHeight="1" x14ac:dyDescent="0.25">
      <c r="B38" s="10" t="s">
        <v>51</v>
      </c>
      <c r="C38" s="10"/>
    </row>
  </sheetData>
  <mergeCells count="10">
    <mergeCell ref="B14:C14"/>
    <mergeCell ref="B24:C24"/>
    <mergeCell ref="B32:C32"/>
    <mergeCell ref="B37:C37"/>
    <mergeCell ref="B38:C38"/>
    <mergeCell ref="B2:C2"/>
    <mergeCell ref="B3:C3"/>
    <mergeCell ref="B5:C5"/>
    <mergeCell ref="B6:C6"/>
    <mergeCell ref="B8:C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4B5"/>
  </sheetPr>
  <dimension ref="A2:F33"/>
  <sheetViews>
    <sheetView showGridLines="0" zoomScaleNormal="100" workbookViewId="0">
      <selection activeCell="B6" sqref="B6"/>
    </sheetView>
  </sheetViews>
  <sheetFormatPr defaultColWidth="8.7109375" defaultRowHeight="15" x14ac:dyDescent="0.25"/>
  <cols>
    <col min="1" max="1" width="42" customWidth="1"/>
    <col min="2" max="2" width="18" customWidth="1"/>
    <col min="3" max="3" width="54" customWidth="1"/>
    <col min="4" max="6" width="10" customWidth="1"/>
  </cols>
  <sheetData>
    <row r="2" spans="1:6" ht="30" customHeight="1" x14ac:dyDescent="0.25">
      <c r="A2" s="13" t="s">
        <v>52</v>
      </c>
      <c r="B2" s="13"/>
      <c r="C2" s="13"/>
      <c r="D2" s="13"/>
      <c r="E2" s="13"/>
      <c r="F2" s="13"/>
    </row>
    <row r="3" spans="1:6" ht="15.75" customHeight="1" x14ac:dyDescent="0.25">
      <c r="A3" s="12" t="s">
        <v>53</v>
      </c>
      <c r="B3" s="12"/>
      <c r="C3" s="12"/>
      <c r="D3" s="12"/>
      <c r="E3" s="12"/>
      <c r="F3" s="12"/>
    </row>
    <row r="5" spans="1:6" ht="19.5" customHeight="1" x14ac:dyDescent="0.25">
      <c r="A5" s="11" t="s">
        <v>54</v>
      </c>
      <c r="B5" s="11"/>
      <c r="C5" s="11"/>
      <c r="D5" s="11"/>
      <c r="E5" s="11"/>
      <c r="F5" s="11"/>
    </row>
    <row r="6" spans="1:6" ht="18" customHeight="1" x14ac:dyDescent="0.25">
      <c r="A6" s="15" t="s">
        <v>55</v>
      </c>
      <c r="B6" s="18">
        <v>45782</v>
      </c>
      <c r="C6" s="19" t="s">
        <v>56</v>
      </c>
      <c r="D6" s="20"/>
      <c r="E6" s="20"/>
      <c r="F6" s="20"/>
    </row>
    <row r="7" spans="1:6" ht="18" customHeight="1" x14ac:dyDescent="0.25">
      <c r="A7" s="15" t="s">
        <v>57</v>
      </c>
      <c r="B7" s="21" t="s">
        <v>58</v>
      </c>
      <c r="C7" s="19" t="s">
        <v>59</v>
      </c>
      <c r="D7" s="20"/>
      <c r="E7" s="20"/>
      <c r="F7" s="20"/>
    </row>
    <row r="8" spans="1:6" ht="18" customHeight="1" x14ac:dyDescent="0.25">
      <c r="A8" s="15" t="s">
        <v>60</v>
      </c>
      <c r="B8" s="22">
        <v>500000</v>
      </c>
      <c r="C8" s="19" t="s">
        <v>61</v>
      </c>
      <c r="D8" s="20"/>
      <c r="E8" s="20"/>
      <c r="F8" s="20"/>
    </row>
    <row r="9" spans="1:6" ht="18" customHeight="1" x14ac:dyDescent="0.25">
      <c r="A9" s="15" t="s">
        <v>62</v>
      </c>
      <c r="B9" s="22">
        <v>850000</v>
      </c>
      <c r="C9" s="19" t="s">
        <v>63</v>
      </c>
      <c r="D9" s="20"/>
      <c r="E9" s="20"/>
      <c r="F9" s="20"/>
    </row>
    <row r="11" spans="1:6" ht="19.5" customHeight="1" x14ac:dyDescent="0.25">
      <c r="A11" s="11" t="s">
        <v>64</v>
      </c>
      <c r="B11" s="11"/>
      <c r="C11" s="11"/>
      <c r="D11" s="11"/>
      <c r="E11" s="11"/>
      <c r="F11" s="11"/>
    </row>
    <row r="12" spans="1:6" ht="18" customHeight="1" x14ac:dyDescent="0.25">
      <c r="A12" s="23" t="s">
        <v>65</v>
      </c>
      <c r="B12" s="24" t="s">
        <v>66</v>
      </c>
      <c r="C12" s="23" t="s">
        <v>67</v>
      </c>
      <c r="D12" s="24" t="s">
        <v>58</v>
      </c>
      <c r="E12" s="24" t="s">
        <v>68</v>
      </c>
      <c r="F12" s="24" t="s">
        <v>69</v>
      </c>
    </row>
    <row r="13" spans="1:6" ht="18" customHeight="1" x14ac:dyDescent="0.25">
      <c r="A13" s="20" t="s">
        <v>70</v>
      </c>
      <c r="B13" s="22">
        <v>900000</v>
      </c>
      <c r="C13" s="19" t="s">
        <v>71</v>
      </c>
      <c r="D13" s="25">
        <v>1</v>
      </c>
      <c r="E13" s="25">
        <v>0.7</v>
      </c>
      <c r="F13" s="25">
        <v>1.2</v>
      </c>
    </row>
    <row r="14" spans="1:6" ht="18" customHeight="1" x14ac:dyDescent="0.25">
      <c r="A14" s="26" t="s">
        <v>72</v>
      </c>
      <c r="B14" s="22">
        <v>0</v>
      </c>
      <c r="C14" s="27" t="s">
        <v>73</v>
      </c>
      <c r="D14" s="25">
        <v>1</v>
      </c>
      <c r="E14" s="25">
        <v>1</v>
      </c>
      <c r="F14" s="25">
        <v>1</v>
      </c>
    </row>
    <row r="15" spans="1:6" ht="18" customHeight="1" x14ac:dyDescent="0.25">
      <c r="A15" s="20" t="s">
        <v>74</v>
      </c>
      <c r="B15" s="22">
        <v>50000</v>
      </c>
      <c r="C15" s="19" t="s">
        <v>75</v>
      </c>
      <c r="D15" s="25">
        <v>1</v>
      </c>
      <c r="E15" s="25">
        <v>0.8</v>
      </c>
      <c r="F15" s="25">
        <v>1.1000000000000001</v>
      </c>
    </row>
    <row r="17" spans="1:6" ht="19.5" customHeight="1" x14ac:dyDescent="0.25">
      <c r="A17" s="11" t="s">
        <v>76</v>
      </c>
      <c r="B17" s="11"/>
      <c r="C17" s="11"/>
      <c r="D17" s="11"/>
      <c r="E17" s="11"/>
      <c r="F17" s="11"/>
    </row>
    <row r="18" spans="1:6" ht="18" customHeight="1" x14ac:dyDescent="0.25">
      <c r="A18" s="23" t="s">
        <v>65</v>
      </c>
      <c r="B18" s="24" t="s">
        <v>66</v>
      </c>
      <c r="C18" s="23" t="s">
        <v>67</v>
      </c>
      <c r="D18" s="24" t="s">
        <v>58</v>
      </c>
      <c r="E18" s="24" t="s">
        <v>68</v>
      </c>
      <c r="F18" s="24" t="s">
        <v>69</v>
      </c>
    </row>
    <row r="19" spans="1:6" ht="18" customHeight="1" x14ac:dyDescent="0.25">
      <c r="A19" s="20" t="s">
        <v>77</v>
      </c>
      <c r="B19" s="22">
        <v>420000</v>
      </c>
      <c r="C19" s="19" t="s">
        <v>78</v>
      </c>
      <c r="D19" s="25">
        <v>1</v>
      </c>
      <c r="E19" s="25">
        <v>1.1000000000000001</v>
      </c>
      <c r="F19" s="25">
        <v>0.9</v>
      </c>
    </row>
    <row r="20" spans="1:6" ht="18" customHeight="1" x14ac:dyDescent="0.25">
      <c r="A20" s="26" t="s">
        <v>79</v>
      </c>
      <c r="B20" s="22">
        <v>62500</v>
      </c>
      <c r="C20" s="27" t="s">
        <v>80</v>
      </c>
      <c r="D20" s="25">
        <v>1</v>
      </c>
      <c r="E20" s="25">
        <v>1</v>
      </c>
      <c r="F20" s="25">
        <v>1</v>
      </c>
    </row>
    <row r="21" spans="1:6" ht="18" customHeight="1" x14ac:dyDescent="0.25">
      <c r="A21" s="20" t="s">
        <v>81</v>
      </c>
      <c r="B21" s="22">
        <v>11250</v>
      </c>
      <c r="C21" s="19" t="s">
        <v>82</v>
      </c>
      <c r="D21" s="25">
        <v>1</v>
      </c>
      <c r="E21" s="25">
        <v>1</v>
      </c>
      <c r="F21" s="25">
        <v>1</v>
      </c>
    </row>
    <row r="22" spans="1:6" ht="18" customHeight="1" x14ac:dyDescent="0.25">
      <c r="A22" s="26" t="s">
        <v>83</v>
      </c>
      <c r="B22" s="22">
        <v>22500</v>
      </c>
      <c r="C22" s="27" t="s">
        <v>84</v>
      </c>
      <c r="D22" s="25">
        <v>1</v>
      </c>
      <c r="E22" s="25">
        <v>1</v>
      </c>
      <c r="F22" s="25">
        <v>1</v>
      </c>
    </row>
    <row r="23" spans="1:6" ht="18" customHeight="1" x14ac:dyDescent="0.25">
      <c r="A23" s="20" t="s">
        <v>85</v>
      </c>
      <c r="B23" s="22">
        <v>3000</v>
      </c>
      <c r="C23" s="19" t="s">
        <v>86</v>
      </c>
      <c r="D23" s="25">
        <v>1</v>
      </c>
      <c r="E23" s="25">
        <v>1</v>
      </c>
      <c r="F23" s="25">
        <v>1</v>
      </c>
    </row>
    <row r="24" spans="1:6" ht="18" customHeight="1" x14ac:dyDescent="0.25">
      <c r="A24" s="26" t="s">
        <v>87</v>
      </c>
      <c r="B24" s="22">
        <v>3750</v>
      </c>
      <c r="C24" s="27" t="s">
        <v>88</v>
      </c>
      <c r="D24" s="25">
        <v>1</v>
      </c>
      <c r="E24" s="25">
        <v>1</v>
      </c>
      <c r="F24" s="25">
        <v>1</v>
      </c>
    </row>
    <row r="25" spans="1:6" ht="18" customHeight="1" x14ac:dyDescent="0.25">
      <c r="A25" s="20" t="s">
        <v>89</v>
      </c>
      <c r="B25" s="22">
        <v>21250</v>
      </c>
      <c r="C25" s="19" t="s">
        <v>90</v>
      </c>
      <c r="D25" s="25">
        <v>1</v>
      </c>
      <c r="E25" s="25">
        <v>1</v>
      </c>
      <c r="F25" s="25">
        <v>1</v>
      </c>
    </row>
    <row r="26" spans="1:6" ht="18" customHeight="1" x14ac:dyDescent="0.25">
      <c r="A26" s="26" t="s">
        <v>91</v>
      </c>
      <c r="B26" s="22">
        <v>25000</v>
      </c>
      <c r="C26" s="27" t="s">
        <v>92</v>
      </c>
      <c r="D26" s="25">
        <v>1</v>
      </c>
      <c r="E26" s="25">
        <v>1.2</v>
      </c>
      <c r="F26" s="25">
        <v>0.9</v>
      </c>
    </row>
    <row r="27" spans="1:6" ht="18" customHeight="1" x14ac:dyDescent="0.25">
      <c r="A27" s="20" t="s">
        <v>93</v>
      </c>
      <c r="B27" s="22">
        <v>15000</v>
      </c>
      <c r="C27" s="19" t="s">
        <v>94</v>
      </c>
      <c r="D27" s="25">
        <v>1</v>
      </c>
      <c r="E27" s="25">
        <v>1</v>
      </c>
      <c r="F27" s="25">
        <v>1</v>
      </c>
    </row>
    <row r="28" spans="1:6" ht="18" customHeight="1" x14ac:dyDescent="0.25">
      <c r="A28" s="26" t="s">
        <v>95</v>
      </c>
      <c r="B28" s="22">
        <v>35000</v>
      </c>
      <c r="C28" s="27" t="s">
        <v>96</v>
      </c>
      <c r="D28" s="25">
        <v>1</v>
      </c>
      <c r="E28" s="25">
        <v>1.1000000000000001</v>
      </c>
      <c r="F28" s="25">
        <v>0.9</v>
      </c>
    </row>
    <row r="30" spans="1:6" ht="19.5" customHeight="1" x14ac:dyDescent="0.25">
      <c r="A30" s="11" t="s">
        <v>97</v>
      </c>
      <c r="B30" s="11"/>
      <c r="C30" s="11"/>
      <c r="D30" s="11"/>
      <c r="E30" s="11"/>
      <c r="F30" s="11"/>
    </row>
    <row r="31" spans="1:6" ht="42" customHeight="1" x14ac:dyDescent="0.25">
      <c r="A31" s="16" t="s">
        <v>58</v>
      </c>
      <c r="B31" s="9" t="s">
        <v>98</v>
      </c>
      <c r="C31" s="9"/>
      <c r="D31" s="9"/>
      <c r="E31" s="9"/>
      <c r="F31" s="9"/>
    </row>
    <row r="32" spans="1:6" ht="42" customHeight="1" x14ac:dyDescent="0.25">
      <c r="A32" s="28" t="s">
        <v>68</v>
      </c>
      <c r="B32" s="8" t="s">
        <v>99</v>
      </c>
      <c r="C32" s="8"/>
      <c r="D32" s="8"/>
      <c r="E32" s="8"/>
      <c r="F32" s="8"/>
    </row>
    <row r="33" spans="1:6" ht="42" customHeight="1" x14ac:dyDescent="0.25">
      <c r="A33" s="29" t="s">
        <v>69</v>
      </c>
      <c r="B33" s="7" t="s">
        <v>100</v>
      </c>
      <c r="C33" s="7"/>
      <c r="D33" s="7"/>
      <c r="E33" s="7"/>
      <c r="F33" s="7"/>
    </row>
  </sheetData>
  <mergeCells count="9">
    <mergeCell ref="A30:F30"/>
    <mergeCell ref="B31:F31"/>
    <mergeCell ref="B32:F32"/>
    <mergeCell ref="B33:F33"/>
    <mergeCell ref="A2:F2"/>
    <mergeCell ref="A3:F3"/>
    <mergeCell ref="A5:F5"/>
    <mergeCell ref="A11:F11"/>
    <mergeCell ref="A17:F17"/>
  </mergeCells>
  <dataValidations count="1">
    <dataValidation type="list" promptTitle="Scenario" prompt="Select scenario" sqref="B7" xr:uid="{00000000-0002-0000-0100-000000000000}">
      <formula1>"Base,Stress,Upside"</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DC3E6"/>
  </sheetPr>
  <dimension ref="A2:P28"/>
  <sheetViews>
    <sheetView showGridLines="0" tabSelected="1" zoomScaleNormal="100" workbookViewId="0">
      <pane xSplit="2" ySplit="7" topLeftCell="C8" activePane="bottomRight" state="frozen"/>
      <selection pane="topRight" activeCell="C1" sqref="C1"/>
      <selection pane="bottomLeft" activeCell="A8" sqref="A8"/>
      <selection pane="bottomRight" activeCell="N6" sqref="N6"/>
    </sheetView>
  </sheetViews>
  <sheetFormatPr defaultColWidth="8.7109375" defaultRowHeight="15" x14ac:dyDescent="0.25"/>
  <cols>
    <col min="1" max="1" width="30" customWidth="1"/>
    <col min="2" max="2" width="36" customWidth="1"/>
    <col min="3" max="15" width="13" customWidth="1"/>
    <col min="16" max="16" width="15" customWidth="1"/>
  </cols>
  <sheetData>
    <row r="2" spans="1:16" ht="30" customHeight="1" x14ac:dyDescent="0.25">
      <c r="A2" s="13" t="s">
        <v>101</v>
      </c>
      <c r="B2" s="13"/>
      <c r="C2" s="13"/>
      <c r="D2" s="13"/>
      <c r="E2" s="13"/>
      <c r="F2" s="13"/>
      <c r="G2" s="13"/>
      <c r="H2" s="13"/>
      <c r="I2" s="13"/>
      <c r="J2" s="13"/>
      <c r="K2" s="13"/>
      <c r="L2" s="13"/>
      <c r="M2" s="13"/>
      <c r="N2" s="13"/>
      <c r="O2" s="13"/>
      <c r="P2" s="13"/>
    </row>
    <row r="3" spans="1:16" ht="18" customHeight="1" x14ac:dyDescent="0.25">
      <c r="A3" s="12" t="str">
        <f>ASSUMPTIONS!$B$7&amp;" Scenario  |  Period: "&amp;TEXT(ASSUMPTIONS!$B$6,"DD-MMM-YY")&amp;"  to  "&amp;TEXT(ASSUMPTIONS!$B$6+90,"DD-MMM-YY")</f>
        <v>Base Scenario  |  Period: 05-May-25  to  03-Aug-25</v>
      </c>
      <c r="B3" s="12"/>
      <c r="C3" s="12"/>
      <c r="D3" s="12"/>
      <c r="E3" s="12"/>
      <c r="F3" s="12"/>
      <c r="G3" s="12"/>
      <c r="H3" s="12"/>
      <c r="I3" s="12"/>
      <c r="J3" s="12"/>
      <c r="K3" s="12"/>
      <c r="L3" s="12"/>
      <c r="M3" s="12"/>
      <c r="N3" s="12"/>
      <c r="O3" s="12"/>
      <c r="P3" s="12"/>
    </row>
    <row r="5" spans="1:16" ht="19.5" customHeight="1" x14ac:dyDescent="0.25">
      <c r="A5" s="23" t="s">
        <v>102</v>
      </c>
      <c r="B5" s="23" t="s">
        <v>103</v>
      </c>
      <c r="C5" s="30" t="s">
        <v>104</v>
      </c>
      <c r="D5" s="30" t="s">
        <v>105</v>
      </c>
      <c r="E5" s="30" t="s">
        <v>106</v>
      </c>
      <c r="F5" s="30" t="s">
        <v>107</v>
      </c>
      <c r="G5" s="30" t="s">
        <v>108</v>
      </c>
      <c r="H5" s="30" t="s">
        <v>109</v>
      </c>
      <c r="I5" s="30" t="s">
        <v>110</v>
      </c>
      <c r="J5" s="30" t="s">
        <v>111</v>
      </c>
      <c r="K5" s="30" t="s">
        <v>112</v>
      </c>
      <c r="L5" s="30" t="s">
        <v>113</v>
      </c>
      <c r="M5" s="30" t="s">
        <v>114</v>
      </c>
      <c r="N5" s="30" t="s">
        <v>115</v>
      </c>
      <c r="O5" s="30" t="s">
        <v>116</v>
      </c>
      <c r="P5" s="31" t="s">
        <v>117</v>
      </c>
    </row>
    <row r="6" spans="1:16" ht="18" customHeight="1" x14ac:dyDescent="0.25">
      <c r="A6" s="32" t="s">
        <v>118</v>
      </c>
      <c r="B6" s="20"/>
      <c r="C6" s="33">
        <f>ASSUMPTIONS!$B$6</f>
        <v>45782</v>
      </c>
      <c r="D6" s="33">
        <f t="shared" ref="D6:O6" si="0">C6+7</f>
        <v>45789</v>
      </c>
      <c r="E6" s="33">
        <f t="shared" si="0"/>
        <v>45796</v>
      </c>
      <c r="F6" s="33">
        <f t="shared" si="0"/>
        <v>45803</v>
      </c>
      <c r="G6" s="33">
        <f t="shared" si="0"/>
        <v>45810</v>
      </c>
      <c r="H6" s="33">
        <f t="shared" si="0"/>
        <v>45817</v>
      </c>
      <c r="I6" s="33">
        <f t="shared" si="0"/>
        <v>45824</v>
      </c>
      <c r="J6" s="33">
        <f t="shared" si="0"/>
        <v>45831</v>
      </c>
      <c r="K6" s="33">
        <f t="shared" si="0"/>
        <v>45838</v>
      </c>
      <c r="L6" s="33">
        <f t="shared" si="0"/>
        <v>45845</v>
      </c>
      <c r="M6" s="33">
        <f t="shared" si="0"/>
        <v>45852</v>
      </c>
      <c r="N6" s="33">
        <f t="shared" si="0"/>
        <v>45859</v>
      </c>
      <c r="O6" s="33">
        <f>N6+7</f>
        <v>45866</v>
      </c>
      <c r="P6" s="20"/>
    </row>
    <row r="7" spans="1:16" ht="21.75" customHeight="1" x14ac:dyDescent="0.25">
      <c r="A7" s="34" t="s">
        <v>119</v>
      </c>
      <c r="B7" s="35" t="s">
        <v>120</v>
      </c>
      <c r="C7" s="36">
        <f>ASSUMPTIONS!$B$9</f>
        <v>850000</v>
      </c>
      <c r="D7" s="36">
        <f>C26</f>
        <v>1180750</v>
      </c>
      <c r="E7" s="36">
        <f t="shared" ref="D7:O7" si="1">D26</f>
        <v>1511500</v>
      </c>
      <c r="F7" s="36">
        <f t="shared" si="1"/>
        <v>1842250</v>
      </c>
      <c r="G7" s="36">
        <f t="shared" si="1"/>
        <v>2173000</v>
      </c>
      <c r="H7" s="36">
        <f t="shared" si="1"/>
        <v>2503750</v>
      </c>
      <c r="I7" s="36">
        <f t="shared" si="1"/>
        <v>2834500</v>
      </c>
      <c r="J7" s="36">
        <f t="shared" si="1"/>
        <v>3165250</v>
      </c>
      <c r="K7" s="36">
        <f t="shared" si="1"/>
        <v>3496000</v>
      </c>
      <c r="L7" s="36">
        <f t="shared" si="1"/>
        <v>3826750</v>
      </c>
      <c r="M7" s="36">
        <f t="shared" si="1"/>
        <v>4157500</v>
      </c>
      <c r="N7" s="36">
        <f t="shared" si="1"/>
        <v>4488250</v>
      </c>
      <c r="O7" s="36">
        <f t="shared" si="1"/>
        <v>4819000</v>
      </c>
      <c r="P7" s="36">
        <f>C7</f>
        <v>850000</v>
      </c>
    </row>
    <row r="8" spans="1:16" ht="18" customHeight="1" x14ac:dyDescent="0.25">
      <c r="A8" s="11" t="s">
        <v>121</v>
      </c>
      <c r="B8" s="11"/>
      <c r="C8" s="11"/>
      <c r="D8" s="11"/>
      <c r="E8" s="11"/>
      <c r="F8" s="11"/>
      <c r="G8" s="11"/>
      <c r="H8" s="11"/>
      <c r="I8" s="11"/>
      <c r="J8" s="11"/>
      <c r="K8" s="11"/>
      <c r="L8" s="11"/>
      <c r="M8" s="11"/>
      <c r="N8" s="11"/>
      <c r="O8" s="11"/>
      <c r="P8" s="11"/>
    </row>
    <row r="9" spans="1:16" ht="18" customHeight="1" x14ac:dyDescent="0.25">
      <c r="A9" s="37" t="s">
        <v>70</v>
      </c>
      <c r="B9" s="38" t="s">
        <v>71</v>
      </c>
      <c r="C9" s="39">
        <f>ASSUMPTIONS!$B$13*CHOOSE(MATCH(ASSUMPTIONS!$B$7,{"Base","Stress","Upside"},0),ASSUMPTIONS!$D$13,ASSUMPTIONS!$E$13,ASSUMPTIONS!$F$13)</f>
        <v>900000</v>
      </c>
      <c r="D9" s="39">
        <f>ASSUMPTIONS!$B$13*CHOOSE(MATCH(ASSUMPTIONS!$B$7,{"Base","Stress","Upside"},0),ASSUMPTIONS!$D$13,ASSUMPTIONS!$E$13,ASSUMPTIONS!$F$13)</f>
        <v>900000</v>
      </c>
      <c r="E9" s="39">
        <f>ASSUMPTIONS!$B$13*CHOOSE(MATCH(ASSUMPTIONS!$B$7,{"Base","Stress","Upside"},0),ASSUMPTIONS!$D$13,ASSUMPTIONS!$E$13,ASSUMPTIONS!$F$13)</f>
        <v>900000</v>
      </c>
      <c r="F9" s="39">
        <f>ASSUMPTIONS!$B$13*CHOOSE(MATCH(ASSUMPTIONS!$B$7,{"Base","Stress","Upside"},0),ASSUMPTIONS!$D$13,ASSUMPTIONS!$E$13,ASSUMPTIONS!$F$13)</f>
        <v>900000</v>
      </c>
      <c r="G9" s="39">
        <f>ASSUMPTIONS!$B$13*CHOOSE(MATCH(ASSUMPTIONS!$B$7,{"Base","Stress","Upside"},0),ASSUMPTIONS!$D$13,ASSUMPTIONS!$E$13,ASSUMPTIONS!$F$13)</f>
        <v>900000</v>
      </c>
      <c r="H9" s="39">
        <f>ASSUMPTIONS!$B$13*CHOOSE(MATCH(ASSUMPTIONS!$B$7,{"Base","Stress","Upside"},0),ASSUMPTIONS!$D$13,ASSUMPTIONS!$E$13,ASSUMPTIONS!$F$13)</f>
        <v>900000</v>
      </c>
      <c r="I9" s="39">
        <f>ASSUMPTIONS!$B$13*CHOOSE(MATCH(ASSUMPTIONS!$B$7,{"Base","Stress","Upside"},0),ASSUMPTIONS!$D$13,ASSUMPTIONS!$E$13,ASSUMPTIONS!$F$13)</f>
        <v>900000</v>
      </c>
      <c r="J9" s="39">
        <f>ASSUMPTIONS!$B$13*CHOOSE(MATCH(ASSUMPTIONS!$B$7,{"Base","Stress","Upside"},0),ASSUMPTIONS!$D$13,ASSUMPTIONS!$E$13,ASSUMPTIONS!$F$13)</f>
        <v>900000</v>
      </c>
      <c r="K9" s="39">
        <f>ASSUMPTIONS!$B$13*CHOOSE(MATCH(ASSUMPTIONS!$B$7,{"Base","Stress","Upside"},0),ASSUMPTIONS!$D$13,ASSUMPTIONS!$E$13,ASSUMPTIONS!$F$13)</f>
        <v>900000</v>
      </c>
      <c r="L9" s="39">
        <f>ASSUMPTIONS!$B$13*CHOOSE(MATCH(ASSUMPTIONS!$B$7,{"Base","Stress","Upside"},0),ASSUMPTIONS!$D$13,ASSUMPTIONS!$E$13,ASSUMPTIONS!$F$13)</f>
        <v>900000</v>
      </c>
      <c r="M9" s="39">
        <f>ASSUMPTIONS!$B$13*CHOOSE(MATCH(ASSUMPTIONS!$B$7,{"Base","Stress","Upside"},0),ASSUMPTIONS!$D$13,ASSUMPTIONS!$E$13,ASSUMPTIONS!$F$13)</f>
        <v>900000</v>
      </c>
      <c r="N9" s="39">
        <f>ASSUMPTIONS!$B$13*CHOOSE(MATCH(ASSUMPTIONS!$B$7,{"Base","Stress","Upside"},0),ASSUMPTIONS!$D$13,ASSUMPTIONS!$E$13,ASSUMPTIONS!$F$13)</f>
        <v>900000</v>
      </c>
      <c r="O9" s="39">
        <f>ASSUMPTIONS!$B$13*CHOOSE(MATCH(ASSUMPTIONS!$B$7,{"Base","Stress","Upside"},0),ASSUMPTIONS!$D$13,ASSUMPTIONS!$E$13,ASSUMPTIONS!$F$13)</f>
        <v>900000</v>
      </c>
      <c r="P9" s="40">
        <f>SUM(C9:O9)</f>
        <v>11700000</v>
      </c>
    </row>
    <row r="10" spans="1:16" ht="18" customHeight="1" x14ac:dyDescent="0.25">
      <c r="A10" s="41" t="s">
        <v>72</v>
      </c>
      <c r="B10" s="27" t="s">
        <v>122</v>
      </c>
      <c r="C10" s="22">
        <v>0</v>
      </c>
      <c r="D10" s="22">
        <v>0</v>
      </c>
      <c r="E10" s="22">
        <v>0</v>
      </c>
      <c r="F10" s="22">
        <v>0</v>
      </c>
      <c r="G10" s="22">
        <v>0</v>
      </c>
      <c r="H10" s="22">
        <v>0</v>
      </c>
      <c r="I10" s="22">
        <v>0</v>
      </c>
      <c r="J10" s="22">
        <v>0</v>
      </c>
      <c r="K10" s="22">
        <v>0</v>
      </c>
      <c r="L10" s="22">
        <v>0</v>
      </c>
      <c r="M10" s="22">
        <v>0</v>
      </c>
      <c r="N10" s="22">
        <v>0</v>
      </c>
      <c r="O10" s="22">
        <v>0</v>
      </c>
      <c r="P10" s="40">
        <f>SUM(C10:O10)</f>
        <v>0</v>
      </c>
    </row>
    <row r="11" spans="1:16" ht="18" customHeight="1" x14ac:dyDescent="0.25">
      <c r="A11" s="37" t="s">
        <v>74</v>
      </c>
      <c r="B11" s="38" t="s">
        <v>75</v>
      </c>
      <c r="C11" s="39">
        <f>ASSUMPTIONS!$B$15*CHOOSE(MATCH(ASSUMPTIONS!$B$7,{"Base","Stress","Upside"},0),ASSUMPTIONS!$D$15,ASSUMPTIONS!$E$15,ASSUMPTIONS!$F$15)</f>
        <v>50000</v>
      </c>
      <c r="D11" s="39">
        <f>ASSUMPTIONS!$B$15*CHOOSE(MATCH(ASSUMPTIONS!$B$7,{"Base","Stress","Upside"},0),ASSUMPTIONS!$D$15,ASSUMPTIONS!$E$15,ASSUMPTIONS!$F$15)</f>
        <v>50000</v>
      </c>
      <c r="E11" s="39">
        <f>ASSUMPTIONS!$B$15*CHOOSE(MATCH(ASSUMPTIONS!$B$7,{"Base","Stress","Upside"},0),ASSUMPTIONS!$D$15,ASSUMPTIONS!$E$15,ASSUMPTIONS!$F$15)</f>
        <v>50000</v>
      </c>
      <c r="F11" s="39">
        <f>ASSUMPTIONS!$B$15*CHOOSE(MATCH(ASSUMPTIONS!$B$7,{"Base","Stress","Upside"},0),ASSUMPTIONS!$D$15,ASSUMPTIONS!$E$15,ASSUMPTIONS!$F$15)</f>
        <v>50000</v>
      </c>
      <c r="G11" s="39">
        <f>ASSUMPTIONS!$B$15*CHOOSE(MATCH(ASSUMPTIONS!$B$7,{"Base","Stress","Upside"},0),ASSUMPTIONS!$D$15,ASSUMPTIONS!$E$15,ASSUMPTIONS!$F$15)</f>
        <v>50000</v>
      </c>
      <c r="H11" s="39">
        <f>ASSUMPTIONS!$B$15*CHOOSE(MATCH(ASSUMPTIONS!$B$7,{"Base","Stress","Upside"},0),ASSUMPTIONS!$D$15,ASSUMPTIONS!$E$15,ASSUMPTIONS!$F$15)</f>
        <v>50000</v>
      </c>
      <c r="I11" s="39">
        <f>ASSUMPTIONS!$B$15*CHOOSE(MATCH(ASSUMPTIONS!$B$7,{"Base","Stress","Upside"},0),ASSUMPTIONS!$D$15,ASSUMPTIONS!$E$15,ASSUMPTIONS!$F$15)</f>
        <v>50000</v>
      </c>
      <c r="J11" s="39">
        <f>ASSUMPTIONS!$B$15*CHOOSE(MATCH(ASSUMPTIONS!$B$7,{"Base","Stress","Upside"},0),ASSUMPTIONS!$D$15,ASSUMPTIONS!$E$15,ASSUMPTIONS!$F$15)</f>
        <v>50000</v>
      </c>
      <c r="K11" s="39">
        <f>ASSUMPTIONS!$B$15*CHOOSE(MATCH(ASSUMPTIONS!$B$7,{"Base","Stress","Upside"},0),ASSUMPTIONS!$D$15,ASSUMPTIONS!$E$15,ASSUMPTIONS!$F$15)</f>
        <v>50000</v>
      </c>
      <c r="L11" s="39">
        <f>ASSUMPTIONS!$B$15*CHOOSE(MATCH(ASSUMPTIONS!$B$7,{"Base","Stress","Upside"},0),ASSUMPTIONS!$D$15,ASSUMPTIONS!$E$15,ASSUMPTIONS!$F$15)</f>
        <v>50000</v>
      </c>
      <c r="M11" s="39">
        <f>ASSUMPTIONS!$B$15*CHOOSE(MATCH(ASSUMPTIONS!$B$7,{"Base","Stress","Upside"},0),ASSUMPTIONS!$D$15,ASSUMPTIONS!$E$15,ASSUMPTIONS!$F$15)</f>
        <v>50000</v>
      </c>
      <c r="N11" s="39">
        <f>ASSUMPTIONS!$B$15*CHOOSE(MATCH(ASSUMPTIONS!$B$7,{"Base","Stress","Upside"},0),ASSUMPTIONS!$D$15,ASSUMPTIONS!$E$15,ASSUMPTIONS!$F$15)</f>
        <v>50000</v>
      </c>
      <c r="O11" s="39">
        <f>ASSUMPTIONS!$B$15*CHOOSE(MATCH(ASSUMPTIONS!$B$7,{"Base","Stress","Upside"},0),ASSUMPTIONS!$D$15,ASSUMPTIONS!$E$15,ASSUMPTIONS!$F$15)</f>
        <v>50000</v>
      </c>
      <c r="P11" s="40">
        <f>SUM(C11:O11)</f>
        <v>650000</v>
      </c>
    </row>
    <row r="12" spans="1:16" ht="19.5" customHeight="1" x14ac:dyDescent="0.25">
      <c r="A12" s="34" t="s">
        <v>123</v>
      </c>
      <c r="B12" s="42"/>
      <c r="C12" s="43">
        <f>SUM(C9:C11)</f>
        <v>950000</v>
      </c>
      <c r="D12" s="43">
        <f t="shared" ref="C12:O12" si="2">SUM(D9:D11)</f>
        <v>950000</v>
      </c>
      <c r="E12" s="43">
        <f t="shared" si="2"/>
        <v>950000</v>
      </c>
      <c r="F12" s="43">
        <f t="shared" si="2"/>
        <v>950000</v>
      </c>
      <c r="G12" s="43">
        <f t="shared" si="2"/>
        <v>950000</v>
      </c>
      <c r="H12" s="43">
        <f t="shared" si="2"/>
        <v>950000</v>
      </c>
      <c r="I12" s="43">
        <f t="shared" si="2"/>
        <v>950000</v>
      </c>
      <c r="J12" s="43">
        <f t="shared" si="2"/>
        <v>950000</v>
      </c>
      <c r="K12" s="43">
        <f t="shared" si="2"/>
        <v>950000</v>
      </c>
      <c r="L12" s="43">
        <f t="shared" si="2"/>
        <v>950000</v>
      </c>
      <c r="M12" s="43">
        <f t="shared" si="2"/>
        <v>950000</v>
      </c>
      <c r="N12" s="43">
        <f t="shared" si="2"/>
        <v>950000</v>
      </c>
      <c r="O12" s="43">
        <f t="shared" si="2"/>
        <v>950000</v>
      </c>
      <c r="P12" s="43">
        <f>SUM(C12:O12)</f>
        <v>12350000</v>
      </c>
    </row>
    <row r="13" spans="1:16" ht="18" customHeight="1" x14ac:dyDescent="0.25">
      <c r="A13" s="11" t="s">
        <v>124</v>
      </c>
      <c r="B13" s="11"/>
      <c r="C13" s="11"/>
      <c r="D13" s="11"/>
      <c r="E13" s="11"/>
      <c r="F13" s="11"/>
      <c r="G13" s="11"/>
      <c r="H13" s="11"/>
      <c r="I13" s="11"/>
      <c r="J13" s="11"/>
      <c r="K13" s="11"/>
      <c r="L13" s="11"/>
      <c r="M13" s="11"/>
      <c r="N13" s="11"/>
      <c r="O13" s="11"/>
      <c r="P13" s="11"/>
    </row>
    <row r="14" spans="1:16" ht="18" customHeight="1" x14ac:dyDescent="0.25">
      <c r="A14" s="44" t="s">
        <v>77</v>
      </c>
      <c r="B14" s="45" t="s">
        <v>78</v>
      </c>
      <c r="C14" s="46">
        <f>ASSUMPTIONS!$B$19*CHOOSE(MATCH(ASSUMPTIONS!$B$7,{"Base","Stress","Upside"},0),ASSUMPTIONS!$D$19,ASSUMPTIONS!$E$19,ASSUMPTIONS!$F$19)</f>
        <v>420000</v>
      </c>
      <c r="D14" s="46">
        <f>ASSUMPTIONS!$B$19*CHOOSE(MATCH(ASSUMPTIONS!$B$7,{"Base","Stress","Upside"},0),ASSUMPTIONS!$D$19,ASSUMPTIONS!$E$19,ASSUMPTIONS!$F$19)</f>
        <v>420000</v>
      </c>
      <c r="E14" s="46">
        <f>ASSUMPTIONS!$B$19*CHOOSE(MATCH(ASSUMPTIONS!$B$7,{"Base","Stress","Upside"},0),ASSUMPTIONS!$D$19,ASSUMPTIONS!$E$19,ASSUMPTIONS!$F$19)</f>
        <v>420000</v>
      </c>
      <c r="F14" s="46">
        <f>ASSUMPTIONS!$B$19*CHOOSE(MATCH(ASSUMPTIONS!$B$7,{"Base","Stress","Upside"},0),ASSUMPTIONS!$D$19,ASSUMPTIONS!$E$19,ASSUMPTIONS!$F$19)</f>
        <v>420000</v>
      </c>
      <c r="G14" s="46">
        <f>ASSUMPTIONS!$B$19*CHOOSE(MATCH(ASSUMPTIONS!$B$7,{"Base","Stress","Upside"},0),ASSUMPTIONS!$D$19,ASSUMPTIONS!$E$19,ASSUMPTIONS!$F$19)</f>
        <v>420000</v>
      </c>
      <c r="H14" s="46">
        <f>ASSUMPTIONS!$B$19*CHOOSE(MATCH(ASSUMPTIONS!$B$7,{"Base","Stress","Upside"},0),ASSUMPTIONS!$D$19,ASSUMPTIONS!$E$19,ASSUMPTIONS!$F$19)</f>
        <v>420000</v>
      </c>
      <c r="I14" s="46">
        <f>ASSUMPTIONS!$B$19*CHOOSE(MATCH(ASSUMPTIONS!$B$7,{"Base","Stress","Upside"},0),ASSUMPTIONS!$D$19,ASSUMPTIONS!$E$19,ASSUMPTIONS!$F$19)</f>
        <v>420000</v>
      </c>
      <c r="J14" s="46">
        <f>ASSUMPTIONS!$B$19*CHOOSE(MATCH(ASSUMPTIONS!$B$7,{"Base","Stress","Upside"},0),ASSUMPTIONS!$D$19,ASSUMPTIONS!$E$19,ASSUMPTIONS!$F$19)</f>
        <v>420000</v>
      </c>
      <c r="K14" s="46">
        <f>ASSUMPTIONS!$B$19*CHOOSE(MATCH(ASSUMPTIONS!$B$7,{"Base","Stress","Upside"},0),ASSUMPTIONS!$D$19,ASSUMPTIONS!$E$19,ASSUMPTIONS!$F$19)</f>
        <v>420000</v>
      </c>
      <c r="L14" s="46">
        <f>ASSUMPTIONS!$B$19*CHOOSE(MATCH(ASSUMPTIONS!$B$7,{"Base","Stress","Upside"},0),ASSUMPTIONS!$D$19,ASSUMPTIONS!$E$19,ASSUMPTIONS!$F$19)</f>
        <v>420000</v>
      </c>
      <c r="M14" s="46">
        <f>ASSUMPTIONS!$B$19*CHOOSE(MATCH(ASSUMPTIONS!$B$7,{"Base","Stress","Upside"},0),ASSUMPTIONS!$D$19,ASSUMPTIONS!$E$19,ASSUMPTIONS!$F$19)</f>
        <v>420000</v>
      </c>
      <c r="N14" s="46">
        <f>ASSUMPTIONS!$B$19*CHOOSE(MATCH(ASSUMPTIONS!$B$7,{"Base","Stress","Upside"},0),ASSUMPTIONS!$D$19,ASSUMPTIONS!$E$19,ASSUMPTIONS!$F$19)</f>
        <v>420000</v>
      </c>
      <c r="O14" s="46">
        <f>ASSUMPTIONS!$B$19*CHOOSE(MATCH(ASSUMPTIONS!$B$7,{"Base","Stress","Upside"},0),ASSUMPTIONS!$D$19,ASSUMPTIONS!$E$19,ASSUMPTIONS!$F$19)</f>
        <v>420000</v>
      </c>
      <c r="P14" s="40">
        <f t="shared" ref="P14:P25" si="3">SUM(C14:O14)</f>
        <v>5460000</v>
      </c>
    </row>
    <row r="15" spans="1:16" ht="18" customHeight="1" x14ac:dyDescent="0.25">
      <c r="A15" s="41" t="s">
        <v>79</v>
      </c>
      <c r="B15" s="27" t="s">
        <v>80</v>
      </c>
      <c r="C15" s="47">
        <f>ASSUMPTIONS!$B$20*CHOOSE(MATCH(ASSUMPTIONS!$B$7,{"Base","Stress","Upside"},0),ASSUMPTIONS!$D$20,ASSUMPTIONS!$E$20,ASSUMPTIONS!$F$20)</f>
        <v>62500</v>
      </c>
      <c r="D15" s="47">
        <f>ASSUMPTIONS!$B$20*CHOOSE(MATCH(ASSUMPTIONS!$B$7,{"Base","Stress","Upside"},0),ASSUMPTIONS!$D$20,ASSUMPTIONS!$E$20,ASSUMPTIONS!$F$20)</f>
        <v>62500</v>
      </c>
      <c r="E15" s="47">
        <f>ASSUMPTIONS!$B$20*CHOOSE(MATCH(ASSUMPTIONS!$B$7,{"Base","Stress","Upside"},0),ASSUMPTIONS!$D$20,ASSUMPTIONS!$E$20,ASSUMPTIONS!$F$20)</f>
        <v>62500</v>
      </c>
      <c r="F15" s="47">
        <f>ASSUMPTIONS!$B$20*CHOOSE(MATCH(ASSUMPTIONS!$B$7,{"Base","Stress","Upside"},0),ASSUMPTIONS!$D$20,ASSUMPTIONS!$E$20,ASSUMPTIONS!$F$20)</f>
        <v>62500</v>
      </c>
      <c r="G15" s="47">
        <f>ASSUMPTIONS!$B$20*CHOOSE(MATCH(ASSUMPTIONS!$B$7,{"Base","Stress","Upside"},0),ASSUMPTIONS!$D$20,ASSUMPTIONS!$E$20,ASSUMPTIONS!$F$20)</f>
        <v>62500</v>
      </c>
      <c r="H15" s="47">
        <f>ASSUMPTIONS!$B$20*CHOOSE(MATCH(ASSUMPTIONS!$B$7,{"Base","Stress","Upside"},0),ASSUMPTIONS!$D$20,ASSUMPTIONS!$E$20,ASSUMPTIONS!$F$20)</f>
        <v>62500</v>
      </c>
      <c r="I15" s="47">
        <f>ASSUMPTIONS!$B$20*CHOOSE(MATCH(ASSUMPTIONS!$B$7,{"Base","Stress","Upside"},0),ASSUMPTIONS!$D$20,ASSUMPTIONS!$E$20,ASSUMPTIONS!$F$20)</f>
        <v>62500</v>
      </c>
      <c r="J15" s="47">
        <f>ASSUMPTIONS!$B$20*CHOOSE(MATCH(ASSUMPTIONS!$B$7,{"Base","Stress","Upside"},0),ASSUMPTIONS!$D$20,ASSUMPTIONS!$E$20,ASSUMPTIONS!$F$20)</f>
        <v>62500</v>
      </c>
      <c r="K15" s="47">
        <f>ASSUMPTIONS!$B$20*CHOOSE(MATCH(ASSUMPTIONS!$B$7,{"Base","Stress","Upside"},0),ASSUMPTIONS!$D$20,ASSUMPTIONS!$E$20,ASSUMPTIONS!$F$20)</f>
        <v>62500</v>
      </c>
      <c r="L15" s="47">
        <f>ASSUMPTIONS!$B$20*CHOOSE(MATCH(ASSUMPTIONS!$B$7,{"Base","Stress","Upside"},0),ASSUMPTIONS!$D$20,ASSUMPTIONS!$E$20,ASSUMPTIONS!$F$20)</f>
        <v>62500</v>
      </c>
      <c r="M15" s="47">
        <f>ASSUMPTIONS!$B$20*CHOOSE(MATCH(ASSUMPTIONS!$B$7,{"Base","Stress","Upside"},0),ASSUMPTIONS!$D$20,ASSUMPTIONS!$E$20,ASSUMPTIONS!$F$20)</f>
        <v>62500</v>
      </c>
      <c r="N15" s="47">
        <f>ASSUMPTIONS!$B$20*CHOOSE(MATCH(ASSUMPTIONS!$B$7,{"Base","Stress","Upside"},0),ASSUMPTIONS!$D$20,ASSUMPTIONS!$E$20,ASSUMPTIONS!$F$20)</f>
        <v>62500</v>
      </c>
      <c r="O15" s="47">
        <f>ASSUMPTIONS!$B$20*CHOOSE(MATCH(ASSUMPTIONS!$B$7,{"Base","Stress","Upside"},0),ASSUMPTIONS!$D$20,ASSUMPTIONS!$E$20,ASSUMPTIONS!$F$20)</f>
        <v>62500</v>
      </c>
      <c r="P15" s="40">
        <f t="shared" si="3"/>
        <v>812500</v>
      </c>
    </row>
    <row r="16" spans="1:16" ht="18" customHeight="1" x14ac:dyDescent="0.25">
      <c r="A16" s="44" t="s">
        <v>81</v>
      </c>
      <c r="B16" s="45" t="s">
        <v>82</v>
      </c>
      <c r="C16" s="46">
        <f>ASSUMPTIONS!$B$21*CHOOSE(MATCH(ASSUMPTIONS!$B$7,{"Base","Stress","Upside"},0),ASSUMPTIONS!$D$21,ASSUMPTIONS!$E$21,ASSUMPTIONS!$F$21)</f>
        <v>11250</v>
      </c>
      <c r="D16" s="46">
        <f>ASSUMPTIONS!$B$21*CHOOSE(MATCH(ASSUMPTIONS!$B$7,{"Base","Stress","Upside"},0),ASSUMPTIONS!$D$21,ASSUMPTIONS!$E$21,ASSUMPTIONS!$F$21)</f>
        <v>11250</v>
      </c>
      <c r="E16" s="46">
        <f>ASSUMPTIONS!$B$21*CHOOSE(MATCH(ASSUMPTIONS!$B$7,{"Base","Stress","Upside"},0),ASSUMPTIONS!$D$21,ASSUMPTIONS!$E$21,ASSUMPTIONS!$F$21)</f>
        <v>11250</v>
      </c>
      <c r="F16" s="46">
        <f>ASSUMPTIONS!$B$21*CHOOSE(MATCH(ASSUMPTIONS!$B$7,{"Base","Stress","Upside"},0),ASSUMPTIONS!$D$21,ASSUMPTIONS!$E$21,ASSUMPTIONS!$F$21)</f>
        <v>11250</v>
      </c>
      <c r="G16" s="46">
        <f>ASSUMPTIONS!$B$21*CHOOSE(MATCH(ASSUMPTIONS!$B$7,{"Base","Stress","Upside"},0),ASSUMPTIONS!$D$21,ASSUMPTIONS!$E$21,ASSUMPTIONS!$F$21)</f>
        <v>11250</v>
      </c>
      <c r="H16" s="46">
        <f>ASSUMPTIONS!$B$21*CHOOSE(MATCH(ASSUMPTIONS!$B$7,{"Base","Stress","Upside"},0),ASSUMPTIONS!$D$21,ASSUMPTIONS!$E$21,ASSUMPTIONS!$F$21)</f>
        <v>11250</v>
      </c>
      <c r="I16" s="46">
        <f>ASSUMPTIONS!$B$21*CHOOSE(MATCH(ASSUMPTIONS!$B$7,{"Base","Stress","Upside"},0),ASSUMPTIONS!$D$21,ASSUMPTIONS!$E$21,ASSUMPTIONS!$F$21)</f>
        <v>11250</v>
      </c>
      <c r="J16" s="46">
        <f>ASSUMPTIONS!$B$21*CHOOSE(MATCH(ASSUMPTIONS!$B$7,{"Base","Stress","Upside"},0),ASSUMPTIONS!$D$21,ASSUMPTIONS!$E$21,ASSUMPTIONS!$F$21)</f>
        <v>11250</v>
      </c>
      <c r="K16" s="46">
        <f>ASSUMPTIONS!$B$21*CHOOSE(MATCH(ASSUMPTIONS!$B$7,{"Base","Stress","Upside"},0),ASSUMPTIONS!$D$21,ASSUMPTIONS!$E$21,ASSUMPTIONS!$F$21)</f>
        <v>11250</v>
      </c>
      <c r="L16" s="46">
        <f>ASSUMPTIONS!$B$21*CHOOSE(MATCH(ASSUMPTIONS!$B$7,{"Base","Stress","Upside"},0),ASSUMPTIONS!$D$21,ASSUMPTIONS!$E$21,ASSUMPTIONS!$F$21)</f>
        <v>11250</v>
      </c>
      <c r="M16" s="46">
        <f>ASSUMPTIONS!$B$21*CHOOSE(MATCH(ASSUMPTIONS!$B$7,{"Base","Stress","Upside"},0),ASSUMPTIONS!$D$21,ASSUMPTIONS!$E$21,ASSUMPTIONS!$F$21)</f>
        <v>11250</v>
      </c>
      <c r="N16" s="46">
        <f>ASSUMPTIONS!$B$21*CHOOSE(MATCH(ASSUMPTIONS!$B$7,{"Base","Stress","Upside"},0),ASSUMPTIONS!$D$21,ASSUMPTIONS!$E$21,ASSUMPTIONS!$F$21)</f>
        <v>11250</v>
      </c>
      <c r="O16" s="46">
        <f>ASSUMPTIONS!$B$21*CHOOSE(MATCH(ASSUMPTIONS!$B$7,{"Base","Stress","Upside"},0),ASSUMPTIONS!$D$21,ASSUMPTIONS!$E$21,ASSUMPTIONS!$F$21)</f>
        <v>11250</v>
      </c>
      <c r="P16" s="40">
        <f t="shared" si="3"/>
        <v>146250</v>
      </c>
    </row>
    <row r="17" spans="1:16" ht="18" customHeight="1" x14ac:dyDescent="0.25">
      <c r="A17" s="41" t="s">
        <v>83</v>
      </c>
      <c r="B17" s="27" t="s">
        <v>84</v>
      </c>
      <c r="C17" s="47">
        <f>ASSUMPTIONS!$B$22*CHOOSE(MATCH(ASSUMPTIONS!$B$7,{"Base","Stress","Upside"},0),ASSUMPTIONS!$D$22,ASSUMPTIONS!$E$22,ASSUMPTIONS!$F$22)</f>
        <v>22500</v>
      </c>
      <c r="D17" s="47">
        <f>ASSUMPTIONS!$B$22*CHOOSE(MATCH(ASSUMPTIONS!$B$7,{"Base","Stress","Upside"},0),ASSUMPTIONS!$D$22,ASSUMPTIONS!$E$22,ASSUMPTIONS!$F$22)</f>
        <v>22500</v>
      </c>
      <c r="E17" s="47">
        <f>ASSUMPTIONS!$B$22*CHOOSE(MATCH(ASSUMPTIONS!$B$7,{"Base","Stress","Upside"},0),ASSUMPTIONS!$D$22,ASSUMPTIONS!$E$22,ASSUMPTIONS!$F$22)</f>
        <v>22500</v>
      </c>
      <c r="F17" s="47">
        <f>ASSUMPTIONS!$B$22*CHOOSE(MATCH(ASSUMPTIONS!$B$7,{"Base","Stress","Upside"},0),ASSUMPTIONS!$D$22,ASSUMPTIONS!$E$22,ASSUMPTIONS!$F$22)</f>
        <v>22500</v>
      </c>
      <c r="G17" s="47">
        <f>ASSUMPTIONS!$B$22*CHOOSE(MATCH(ASSUMPTIONS!$B$7,{"Base","Stress","Upside"},0),ASSUMPTIONS!$D$22,ASSUMPTIONS!$E$22,ASSUMPTIONS!$F$22)</f>
        <v>22500</v>
      </c>
      <c r="H17" s="47">
        <f>ASSUMPTIONS!$B$22*CHOOSE(MATCH(ASSUMPTIONS!$B$7,{"Base","Stress","Upside"},0),ASSUMPTIONS!$D$22,ASSUMPTIONS!$E$22,ASSUMPTIONS!$F$22)</f>
        <v>22500</v>
      </c>
      <c r="I17" s="47">
        <f>ASSUMPTIONS!$B$22*CHOOSE(MATCH(ASSUMPTIONS!$B$7,{"Base","Stress","Upside"},0),ASSUMPTIONS!$D$22,ASSUMPTIONS!$E$22,ASSUMPTIONS!$F$22)</f>
        <v>22500</v>
      </c>
      <c r="J17" s="47">
        <f>ASSUMPTIONS!$B$22*CHOOSE(MATCH(ASSUMPTIONS!$B$7,{"Base","Stress","Upside"},0),ASSUMPTIONS!$D$22,ASSUMPTIONS!$E$22,ASSUMPTIONS!$F$22)</f>
        <v>22500</v>
      </c>
      <c r="K17" s="47">
        <f>ASSUMPTIONS!$B$22*CHOOSE(MATCH(ASSUMPTIONS!$B$7,{"Base","Stress","Upside"},0),ASSUMPTIONS!$D$22,ASSUMPTIONS!$E$22,ASSUMPTIONS!$F$22)</f>
        <v>22500</v>
      </c>
      <c r="L17" s="47">
        <f>ASSUMPTIONS!$B$22*CHOOSE(MATCH(ASSUMPTIONS!$B$7,{"Base","Stress","Upside"},0),ASSUMPTIONS!$D$22,ASSUMPTIONS!$E$22,ASSUMPTIONS!$F$22)</f>
        <v>22500</v>
      </c>
      <c r="M17" s="47">
        <f>ASSUMPTIONS!$B$22*CHOOSE(MATCH(ASSUMPTIONS!$B$7,{"Base","Stress","Upside"},0),ASSUMPTIONS!$D$22,ASSUMPTIONS!$E$22,ASSUMPTIONS!$F$22)</f>
        <v>22500</v>
      </c>
      <c r="N17" s="47">
        <f>ASSUMPTIONS!$B$22*CHOOSE(MATCH(ASSUMPTIONS!$B$7,{"Base","Stress","Upside"},0),ASSUMPTIONS!$D$22,ASSUMPTIONS!$E$22,ASSUMPTIONS!$F$22)</f>
        <v>22500</v>
      </c>
      <c r="O17" s="47">
        <f>ASSUMPTIONS!$B$22*CHOOSE(MATCH(ASSUMPTIONS!$B$7,{"Base","Stress","Upside"},0),ASSUMPTIONS!$D$22,ASSUMPTIONS!$E$22,ASSUMPTIONS!$F$22)</f>
        <v>22500</v>
      </c>
      <c r="P17" s="40">
        <f t="shared" si="3"/>
        <v>292500</v>
      </c>
    </row>
    <row r="18" spans="1:16" ht="18" customHeight="1" x14ac:dyDescent="0.25">
      <c r="A18" s="44" t="s">
        <v>85</v>
      </c>
      <c r="B18" s="45" t="s">
        <v>86</v>
      </c>
      <c r="C18" s="46">
        <f>ASSUMPTIONS!$B$23*CHOOSE(MATCH(ASSUMPTIONS!$B$7,{"Base","Stress","Upside"},0),ASSUMPTIONS!$D$23,ASSUMPTIONS!$E$23,ASSUMPTIONS!$F$23)</f>
        <v>3000</v>
      </c>
      <c r="D18" s="46">
        <f>ASSUMPTIONS!$B$23*CHOOSE(MATCH(ASSUMPTIONS!$B$7,{"Base","Stress","Upside"},0),ASSUMPTIONS!$D$23,ASSUMPTIONS!$E$23,ASSUMPTIONS!$F$23)</f>
        <v>3000</v>
      </c>
      <c r="E18" s="46">
        <f>ASSUMPTIONS!$B$23*CHOOSE(MATCH(ASSUMPTIONS!$B$7,{"Base","Stress","Upside"},0),ASSUMPTIONS!$D$23,ASSUMPTIONS!$E$23,ASSUMPTIONS!$F$23)</f>
        <v>3000</v>
      </c>
      <c r="F18" s="46">
        <f>ASSUMPTIONS!$B$23*CHOOSE(MATCH(ASSUMPTIONS!$B$7,{"Base","Stress","Upside"},0),ASSUMPTIONS!$D$23,ASSUMPTIONS!$E$23,ASSUMPTIONS!$F$23)</f>
        <v>3000</v>
      </c>
      <c r="G18" s="46">
        <f>ASSUMPTIONS!$B$23*CHOOSE(MATCH(ASSUMPTIONS!$B$7,{"Base","Stress","Upside"},0),ASSUMPTIONS!$D$23,ASSUMPTIONS!$E$23,ASSUMPTIONS!$F$23)</f>
        <v>3000</v>
      </c>
      <c r="H18" s="46">
        <f>ASSUMPTIONS!$B$23*CHOOSE(MATCH(ASSUMPTIONS!$B$7,{"Base","Stress","Upside"},0),ASSUMPTIONS!$D$23,ASSUMPTIONS!$E$23,ASSUMPTIONS!$F$23)</f>
        <v>3000</v>
      </c>
      <c r="I18" s="46">
        <f>ASSUMPTIONS!$B$23*CHOOSE(MATCH(ASSUMPTIONS!$B$7,{"Base","Stress","Upside"},0),ASSUMPTIONS!$D$23,ASSUMPTIONS!$E$23,ASSUMPTIONS!$F$23)</f>
        <v>3000</v>
      </c>
      <c r="J18" s="46">
        <f>ASSUMPTIONS!$B$23*CHOOSE(MATCH(ASSUMPTIONS!$B$7,{"Base","Stress","Upside"},0),ASSUMPTIONS!$D$23,ASSUMPTIONS!$E$23,ASSUMPTIONS!$F$23)</f>
        <v>3000</v>
      </c>
      <c r="K18" s="46">
        <f>ASSUMPTIONS!$B$23*CHOOSE(MATCH(ASSUMPTIONS!$B$7,{"Base","Stress","Upside"},0),ASSUMPTIONS!$D$23,ASSUMPTIONS!$E$23,ASSUMPTIONS!$F$23)</f>
        <v>3000</v>
      </c>
      <c r="L18" s="46">
        <f>ASSUMPTIONS!$B$23*CHOOSE(MATCH(ASSUMPTIONS!$B$7,{"Base","Stress","Upside"},0),ASSUMPTIONS!$D$23,ASSUMPTIONS!$E$23,ASSUMPTIONS!$F$23)</f>
        <v>3000</v>
      </c>
      <c r="M18" s="46">
        <f>ASSUMPTIONS!$B$23*CHOOSE(MATCH(ASSUMPTIONS!$B$7,{"Base","Stress","Upside"},0),ASSUMPTIONS!$D$23,ASSUMPTIONS!$E$23,ASSUMPTIONS!$F$23)</f>
        <v>3000</v>
      </c>
      <c r="N18" s="46">
        <f>ASSUMPTIONS!$B$23*CHOOSE(MATCH(ASSUMPTIONS!$B$7,{"Base","Stress","Upside"},0),ASSUMPTIONS!$D$23,ASSUMPTIONS!$E$23,ASSUMPTIONS!$F$23)</f>
        <v>3000</v>
      </c>
      <c r="O18" s="46">
        <f>ASSUMPTIONS!$B$23*CHOOSE(MATCH(ASSUMPTIONS!$B$7,{"Base","Stress","Upside"},0),ASSUMPTIONS!$D$23,ASSUMPTIONS!$E$23,ASSUMPTIONS!$F$23)</f>
        <v>3000</v>
      </c>
      <c r="P18" s="40">
        <f t="shared" si="3"/>
        <v>39000</v>
      </c>
    </row>
    <row r="19" spans="1:16" ht="18" customHeight="1" x14ac:dyDescent="0.25">
      <c r="A19" s="41" t="s">
        <v>87</v>
      </c>
      <c r="B19" s="27" t="s">
        <v>88</v>
      </c>
      <c r="C19" s="47">
        <f>ASSUMPTIONS!$B$24*CHOOSE(MATCH(ASSUMPTIONS!$B$7,{"Base","Stress","Upside"},0),ASSUMPTIONS!$D$24,ASSUMPTIONS!$E$24,ASSUMPTIONS!$F$24)</f>
        <v>3750</v>
      </c>
      <c r="D19" s="47">
        <f>ASSUMPTIONS!$B$24*CHOOSE(MATCH(ASSUMPTIONS!$B$7,{"Base","Stress","Upside"},0),ASSUMPTIONS!$D$24,ASSUMPTIONS!$E$24,ASSUMPTIONS!$F$24)</f>
        <v>3750</v>
      </c>
      <c r="E19" s="47">
        <f>ASSUMPTIONS!$B$24*CHOOSE(MATCH(ASSUMPTIONS!$B$7,{"Base","Stress","Upside"},0),ASSUMPTIONS!$D$24,ASSUMPTIONS!$E$24,ASSUMPTIONS!$F$24)</f>
        <v>3750</v>
      </c>
      <c r="F19" s="47">
        <f>ASSUMPTIONS!$B$24*CHOOSE(MATCH(ASSUMPTIONS!$B$7,{"Base","Stress","Upside"},0),ASSUMPTIONS!$D$24,ASSUMPTIONS!$E$24,ASSUMPTIONS!$F$24)</f>
        <v>3750</v>
      </c>
      <c r="G19" s="47">
        <f>ASSUMPTIONS!$B$24*CHOOSE(MATCH(ASSUMPTIONS!$B$7,{"Base","Stress","Upside"},0),ASSUMPTIONS!$D$24,ASSUMPTIONS!$E$24,ASSUMPTIONS!$F$24)</f>
        <v>3750</v>
      </c>
      <c r="H19" s="47">
        <f>ASSUMPTIONS!$B$24*CHOOSE(MATCH(ASSUMPTIONS!$B$7,{"Base","Stress","Upside"},0),ASSUMPTIONS!$D$24,ASSUMPTIONS!$E$24,ASSUMPTIONS!$F$24)</f>
        <v>3750</v>
      </c>
      <c r="I19" s="47">
        <f>ASSUMPTIONS!$B$24*CHOOSE(MATCH(ASSUMPTIONS!$B$7,{"Base","Stress","Upside"},0),ASSUMPTIONS!$D$24,ASSUMPTIONS!$E$24,ASSUMPTIONS!$F$24)</f>
        <v>3750</v>
      </c>
      <c r="J19" s="47">
        <f>ASSUMPTIONS!$B$24*CHOOSE(MATCH(ASSUMPTIONS!$B$7,{"Base","Stress","Upside"},0),ASSUMPTIONS!$D$24,ASSUMPTIONS!$E$24,ASSUMPTIONS!$F$24)</f>
        <v>3750</v>
      </c>
      <c r="K19" s="47">
        <f>ASSUMPTIONS!$B$24*CHOOSE(MATCH(ASSUMPTIONS!$B$7,{"Base","Stress","Upside"},0),ASSUMPTIONS!$D$24,ASSUMPTIONS!$E$24,ASSUMPTIONS!$F$24)</f>
        <v>3750</v>
      </c>
      <c r="L19" s="47">
        <f>ASSUMPTIONS!$B$24*CHOOSE(MATCH(ASSUMPTIONS!$B$7,{"Base","Stress","Upside"},0),ASSUMPTIONS!$D$24,ASSUMPTIONS!$E$24,ASSUMPTIONS!$F$24)</f>
        <v>3750</v>
      </c>
      <c r="M19" s="47">
        <f>ASSUMPTIONS!$B$24*CHOOSE(MATCH(ASSUMPTIONS!$B$7,{"Base","Stress","Upside"},0),ASSUMPTIONS!$D$24,ASSUMPTIONS!$E$24,ASSUMPTIONS!$F$24)</f>
        <v>3750</v>
      </c>
      <c r="N19" s="47">
        <f>ASSUMPTIONS!$B$24*CHOOSE(MATCH(ASSUMPTIONS!$B$7,{"Base","Stress","Upside"},0),ASSUMPTIONS!$D$24,ASSUMPTIONS!$E$24,ASSUMPTIONS!$F$24)</f>
        <v>3750</v>
      </c>
      <c r="O19" s="47">
        <f>ASSUMPTIONS!$B$24*CHOOSE(MATCH(ASSUMPTIONS!$B$7,{"Base","Stress","Upside"},0),ASSUMPTIONS!$D$24,ASSUMPTIONS!$E$24,ASSUMPTIONS!$F$24)</f>
        <v>3750</v>
      </c>
      <c r="P19" s="40">
        <f t="shared" si="3"/>
        <v>48750</v>
      </c>
    </row>
    <row r="20" spans="1:16" ht="18" customHeight="1" x14ac:dyDescent="0.25">
      <c r="A20" s="44" t="s">
        <v>89</v>
      </c>
      <c r="B20" s="45" t="s">
        <v>90</v>
      </c>
      <c r="C20" s="46">
        <f>ASSUMPTIONS!$B$25*CHOOSE(MATCH(ASSUMPTIONS!$B$7,{"Base","Stress","Upside"},0),ASSUMPTIONS!$D$25,ASSUMPTIONS!$E$25,ASSUMPTIONS!$F$25)</f>
        <v>21250</v>
      </c>
      <c r="D20" s="46">
        <f>ASSUMPTIONS!$B$25*CHOOSE(MATCH(ASSUMPTIONS!$B$7,{"Base","Stress","Upside"},0),ASSUMPTIONS!$D$25,ASSUMPTIONS!$E$25,ASSUMPTIONS!$F$25)</f>
        <v>21250</v>
      </c>
      <c r="E20" s="46">
        <f>ASSUMPTIONS!$B$25*CHOOSE(MATCH(ASSUMPTIONS!$B$7,{"Base","Stress","Upside"},0),ASSUMPTIONS!$D$25,ASSUMPTIONS!$E$25,ASSUMPTIONS!$F$25)</f>
        <v>21250</v>
      </c>
      <c r="F20" s="46">
        <f>ASSUMPTIONS!$B$25*CHOOSE(MATCH(ASSUMPTIONS!$B$7,{"Base","Stress","Upside"},0),ASSUMPTIONS!$D$25,ASSUMPTIONS!$E$25,ASSUMPTIONS!$F$25)</f>
        <v>21250</v>
      </c>
      <c r="G20" s="46">
        <f>ASSUMPTIONS!$B$25*CHOOSE(MATCH(ASSUMPTIONS!$B$7,{"Base","Stress","Upside"},0),ASSUMPTIONS!$D$25,ASSUMPTIONS!$E$25,ASSUMPTIONS!$F$25)</f>
        <v>21250</v>
      </c>
      <c r="H20" s="46">
        <f>ASSUMPTIONS!$B$25*CHOOSE(MATCH(ASSUMPTIONS!$B$7,{"Base","Stress","Upside"},0),ASSUMPTIONS!$D$25,ASSUMPTIONS!$E$25,ASSUMPTIONS!$F$25)</f>
        <v>21250</v>
      </c>
      <c r="I20" s="46">
        <f>ASSUMPTIONS!$B$25*CHOOSE(MATCH(ASSUMPTIONS!$B$7,{"Base","Stress","Upside"},0),ASSUMPTIONS!$D$25,ASSUMPTIONS!$E$25,ASSUMPTIONS!$F$25)</f>
        <v>21250</v>
      </c>
      <c r="J20" s="46">
        <f>ASSUMPTIONS!$B$25*CHOOSE(MATCH(ASSUMPTIONS!$B$7,{"Base","Stress","Upside"},0),ASSUMPTIONS!$D$25,ASSUMPTIONS!$E$25,ASSUMPTIONS!$F$25)</f>
        <v>21250</v>
      </c>
      <c r="K20" s="46">
        <f>ASSUMPTIONS!$B$25*CHOOSE(MATCH(ASSUMPTIONS!$B$7,{"Base","Stress","Upside"},0),ASSUMPTIONS!$D$25,ASSUMPTIONS!$E$25,ASSUMPTIONS!$F$25)</f>
        <v>21250</v>
      </c>
      <c r="L20" s="46">
        <f>ASSUMPTIONS!$B$25*CHOOSE(MATCH(ASSUMPTIONS!$B$7,{"Base","Stress","Upside"},0),ASSUMPTIONS!$D$25,ASSUMPTIONS!$E$25,ASSUMPTIONS!$F$25)</f>
        <v>21250</v>
      </c>
      <c r="M20" s="46">
        <f>ASSUMPTIONS!$B$25*CHOOSE(MATCH(ASSUMPTIONS!$B$7,{"Base","Stress","Upside"},0),ASSUMPTIONS!$D$25,ASSUMPTIONS!$E$25,ASSUMPTIONS!$F$25)</f>
        <v>21250</v>
      </c>
      <c r="N20" s="46">
        <f>ASSUMPTIONS!$B$25*CHOOSE(MATCH(ASSUMPTIONS!$B$7,{"Base","Stress","Upside"},0),ASSUMPTIONS!$D$25,ASSUMPTIONS!$E$25,ASSUMPTIONS!$F$25)</f>
        <v>21250</v>
      </c>
      <c r="O20" s="46">
        <f>ASSUMPTIONS!$B$25*CHOOSE(MATCH(ASSUMPTIONS!$B$7,{"Base","Stress","Upside"},0),ASSUMPTIONS!$D$25,ASSUMPTIONS!$E$25,ASSUMPTIONS!$F$25)</f>
        <v>21250</v>
      </c>
      <c r="P20" s="40">
        <f t="shared" si="3"/>
        <v>276250</v>
      </c>
    </row>
    <row r="21" spans="1:16" ht="18" customHeight="1" x14ac:dyDescent="0.25">
      <c r="A21" s="41" t="s">
        <v>91</v>
      </c>
      <c r="B21" s="27" t="s">
        <v>92</v>
      </c>
      <c r="C21" s="47">
        <f>ASSUMPTIONS!$B$26*CHOOSE(MATCH(ASSUMPTIONS!$B$7,{"Base","Stress","Upside"},0),ASSUMPTIONS!$D$26,ASSUMPTIONS!$E$26,ASSUMPTIONS!$F$26)</f>
        <v>25000</v>
      </c>
      <c r="D21" s="47">
        <f>ASSUMPTIONS!$B$26*CHOOSE(MATCH(ASSUMPTIONS!$B$7,{"Base","Stress","Upside"},0),ASSUMPTIONS!$D$26,ASSUMPTIONS!$E$26,ASSUMPTIONS!$F$26)</f>
        <v>25000</v>
      </c>
      <c r="E21" s="47">
        <f>ASSUMPTIONS!$B$26*CHOOSE(MATCH(ASSUMPTIONS!$B$7,{"Base","Stress","Upside"},0),ASSUMPTIONS!$D$26,ASSUMPTIONS!$E$26,ASSUMPTIONS!$F$26)</f>
        <v>25000</v>
      </c>
      <c r="F21" s="47">
        <f>ASSUMPTIONS!$B$26*CHOOSE(MATCH(ASSUMPTIONS!$B$7,{"Base","Stress","Upside"},0),ASSUMPTIONS!$D$26,ASSUMPTIONS!$E$26,ASSUMPTIONS!$F$26)</f>
        <v>25000</v>
      </c>
      <c r="G21" s="47">
        <f>ASSUMPTIONS!$B$26*CHOOSE(MATCH(ASSUMPTIONS!$B$7,{"Base","Stress","Upside"},0),ASSUMPTIONS!$D$26,ASSUMPTIONS!$E$26,ASSUMPTIONS!$F$26)</f>
        <v>25000</v>
      </c>
      <c r="H21" s="47">
        <f>ASSUMPTIONS!$B$26*CHOOSE(MATCH(ASSUMPTIONS!$B$7,{"Base","Stress","Upside"},0),ASSUMPTIONS!$D$26,ASSUMPTIONS!$E$26,ASSUMPTIONS!$F$26)</f>
        <v>25000</v>
      </c>
      <c r="I21" s="47">
        <f>ASSUMPTIONS!$B$26*CHOOSE(MATCH(ASSUMPTIONS!$B$7,{"Base","Stress","Upside"},0),ASSUMPTIONS!$D$26,ASSUMPTIONS!$E$26,ASSUMPTIONS!$F$26)</f>
        <v>25000</v>
      </c>
      <c r="J21" s="47">
        <f>ASSUMPTIONS!$B$26*CHOOSE(MATCH(ASSUMPTIONS!$B$7,{"Base","Stress","Upside"},0),ASSUMPTIONS!$D$26,ASSUMPTIONS!$E$26,ASSUMPTIONS!$F$26)</f>
        <v>25000</v>
      </c>
      <c r="K21" s="47">
        <f>ASSUMPTIONS!$B$26*CHOOSE(MATCH(ASSUMPTIONS!$B$7,{"Base","Stress","Upside"},0),ASSUMPTIONS!$D$26,ASSUMPTIONS!$E$26,ASSUMPTIONS!$F$26)</f>
        <v>25000</v>
      </c>
      <c r="L21" s="47">
        <f>ASSUMPTIONS!$B$26*CHOOSE(MATCH(ASSUMPTIONS!$B$7,{"Base","Stress","Upside"},0),ASSUMPTIONS!$D$26,ASSUMPTIONS!$E$26,ASSUMPTIONS!$F$26)</f>
        <v>25000</v>
      </c>
      <c r="M21" s="47">
        <f>ASSUMPTIONS!$B$26*CHOOSE(MATCH(ASSUMPTIONS!$B$7,{"Base","Stress","Upside"},0),ASSUMPTIONS!$D$26,ASSUMPTIONS!$E$26,ASSUMPTIONS!$F$26)</f>
        <v>25000</v>
      </c>
      <c r="N21" s="47">
        <f>ASSUMPTIONS!$B$26*CHOOSE(MATCH(ASSUMPTIONS!$B$7,{"Base","Stress","Upside"},0),ASSUMPTIONS!$D$26,ASSUMPTIONS!$E$26,ASSUMPTIONS!$F$26)</f>
        <v>25000</v>
      </c>
      <c r="O21" s="47">
        <f>ASSUMPTIONS!$B$26*CHOOSE(MATCH(ASSUMPTIONS!$B$7,{"Base","Stress","Upside"},0),ASSUMPTIONS!$D$26,ASSUMPTIONS!$E$26,ASSUMPTIONS!$F$26)</f>
        <v>25000</v>
      </c>
      <c r="P21" s="40">
        <f t="shared" si="3"/>
        <v>325000</v>
      </c>
    </row>
    <row r="22" spans="1:16" ht="18" customHeight="1" x14ac:dyDescent="0.25">
      <c r="A22" s="44" t="s">
        <v>93</v>
      </c>
      <c r="B22" s="45" t="s">
        <v>94</v>
      </c>
      <c r="C22" s="46">
        <f>ASSUMPTIONS!$B$27*CHOOSE(MATCH(ASSUMPTIONS!$B$7,{"Base","Stress","Upside"},0),ASSUMPTIONS!$D$27,ASSUMPTIONS!$E$27,ASSUMPTIONS!$F$27)</f>
        <v>15000</v>
      </c>
      <c r="D22" s="46">
        <f>ASSUMPTIONS!$B$27*CHOOSE(MATCH(ASSUMPTIONS!$B$7,{"Base","Stress","Upside"},0),ASSUMPTIONS!$D$27,ASSUMPTIONS!$E$27,ASSUMPTIONS!$F$27)</f>
        <v>15000</v>
      </c>
      <c r="E22" s="46">
        <f>ASSUMPTIONS!$B$27*CHOOSE(MATCH(ASSUMPTIONS!$B$7,{"Base","Stress","Upside"},0),ASSUMPTIONS!$D$27,ASSUMPTIONS!$E$27,ASSUMPTIONS!$F$27)</f>
        <v>15000</v>
      </c>
      <c r="F22" s="46">
        <f>ASSUMPTIONS!$B$27*CHOOSE(MATCH(ASSUMPTIONS!$B$7,{"Base","Stress","Upside"},0),ASSUMPTIONS!$D$27,ASSUMPTIONS!$E$27,ASSUMPTIONS!$F$27)</f>
        <v>15000</v>
      </c>
      <c r="G22" s="46">
        <f>ASSUMPTIONS!$B$27*CHOOSE(MATCH(ASSUMPTIONS!$B$7,{"Base","Stress","Upside"},0),ASSUMPTIONS!$D$27,ASSUMPTIONS!$E$27,ASSUMPTIONS!$F$27)</f>
        <v>15000</v>
      </c>
      <c r="H22" s="46">
        <f>ASSUMPTIONS!$B$27*CHOOSE(MATCH(ASSUMPTIONS!$B$7,{"Base","Stress","Upside"},0),ASSUMPTIONS!$D$27,ASSUMPTIONS!$E$27,ASSUMPTIONS!$F$27)</f>
        <v>15000</v>
      </c>
      <c r="I22" s="46">
        <f>ASSUMPTIONS!$B$27*CHOOSE(MATCH(ASSUMPTIONS!$B$7,{"Base","Stress","Upside"},0),ASSUMPTIONS!$D$27,ASSUMPTIONS!$E$27,ASSUMPTIONS!$F$27)</f>
        <v>15000</v>
      </c>
      <c r="J22" s="46">
        <f>ASSUMPTIONS!$B$27*CHOOSE(MATCH(ASSUMPTIONS!$B$7,{"Base","Stress","Upside"},0),ASSUMPTIONS!$D$27,ASSUMPTIONS!$E$27,ASSUMPTIONS!$F$27)</f>
        <v>15000</v>
      </c>
      <c r="K22" s="46">
        <f>ASSUMPTIONS!$B$27*CHOOSE(MATCH(ASSUMPTIONS!$B$7,{"Base","Stress","Upside"},0),ASSUMPTIONS!$D$27,ASSUMPTIONS!$E$27,ASSUMPTIONS!$F$27)</f>
        <v>15000</v>
      </c>
      <c r="L22" s="46">
        <f>ASSUMPTIONS!$B$27*CHOOSE(MATCH(ASSUMPTIONS!$B$7,{"Base","Stress","Upside"},0),ASSUMPTIONS!$D$27,ASSUMPTIONS!$E$27,ASSUMPTIONS!$F$27)</f>
        <v>15000</v>
      </c>
      <c r="M22" s="46">
        <f>ASSUMPTIONS!$B$27*CHOOSE(MATCH(ASSUMPTIONS!$B$7,{"Base","Stress","Upside"},0),ASSUMPTIONS!$D$27,ASSUMPTIONS!$E$27,ASSUMPTIONS!$F$27)</f>
        <v>15000</v>
      </c>
      <c r="N22" s="46">
        <f>ASSUMPTIONS!$B$27*CHOOSE(MATCH(ASSUMPTIONS!$B$7,{"Base","Stress","Upside"},0),ASSUMPTIONS!$D$27,ASSUMPTIONS!$E$27,ASSUMPTIONS!$F$27)</f>
        <v>15000</v>
      </c>
      <c r="O22" s="46">
        <f>ASSUMPTIONS!$B$27*CHOOSE(MATCH(ASSUMPTIONS!$B$7,{"Base","Stress","Upside"},0),ASSUMPTIONS!$D$27,ASSUMPTIONS!$E$27,ASSUMPTIONS!$F$27)</f>
        <v>15000</v>
      </c>
      <c r="P22" s="40">
        <f t="shared" si="3"/>
        <v>195000</v>
      </c>
    </row>
    <row r="23" spans="1:16" ht="18" customHeight="1" x14ac:dyDescent="0.25">
      <c r="A23" s="41" t="s">
        <v>95</v>
      </c>
      <c r="B23" s="27" t="s">
        <v>96</v>
      </c>
      <c r="C23" s="47">
        <f>ASSUMPTIONS!$B$28*CHOOSE(MATCH(ASSUMPTIONS!$B$7,{"Base","Stress","Upside"},0),ASSUMPTIONS!$D$28,ASSUMPTIONS!$E$28,ASSUMPTIONS!$F$28)</f>
        <v>35000</v>
      </c>
      <c r="D23" s="47">
        <f>ASSUMPTIONS!$B$28*CHOOSE(MATCH(ASSUMPTIONS!$B$7,{"Base","Stress","Upside"},0),ASSUMPTIONS!$D$28,ASSUMPTIONS!$E$28,ASSUMPTIONS!$F$28)</f>
        <v>35000</v>
      </c>
      <c r="E23" s="47">
        <f>ASSUMPTIONS!$B$28*CHOOSE(MATCH(ASSUMPTIONS!$B$7,{"Base","Stress","Upside"},0),ASSUMPTIONS!$D$28,ASSUMPTIONS!$E$28,ASSUMPTIONS!$F$28)</f>
        <v>35000</v>
      </c>
      <c r="F23" s="47">
        <f>ASSUMPTIONS!$B$28*CHOOSE(MATCH(ASSUMPTIONS!$B$7,{"Base","Stress","Upside"},0),ASSUMPTIONS!$D$28,ASSUMPTIONS!$E$28,ASSUMPTIONS!$F$28)</f>
        <v>35000</v>
      </c>
      <c r="G23" s="47">
        <f>ASSUMPTIONS!$B$28*CHOOSE(MATCH(ASSUMPTIONS!$B$7,{"Base","Stress","Upside"},0),ASSUMPTIONS!$D$28,ASSUMPTIONS!$E$28,ASSUMPTIONS!$F$28)</f>
        <v>35000</v>
      </c>
      <c r="H23" s="47">
        <f>ASSUMPTIONS!$B$28*CHOOSE(MATCH(ASSUMPTIONS!$B$7,{"Base","Stress","Upside"},0),ASSUMPTIONS!$D$28,ASSUMPTIONS!$E$28,ASSUMPTIONS!$F$28)</f>
        <v>35000</v>
      </c>
      <c r="I23" s="47">
        <f>ASSUMPTIONS!$B$28*CHOOSE(MATCH(ASSUMPTIONS!$B$7,{"Base","Stress","Upside"},0),ASSUMPTIONS!$D$28,ASSUMPTIONS!$E$28,ASSUMPTIONS!$F$28)</f>
        <v>35000</v>
      </c>
      <c r="J23" s="47">
        <f>ASSUMPTIONS!$B$28*CHOOSE(MATCH(ASSUMPTIONS!$B$7,{"Base","Stress","Upside"},0),ASSUMPTIONS!$D$28,ASSUMPTIONS!$E$28,ASSUMPTIONS!$F$28)</f>
        <v>35000</v>
      </c>
      <c r="K23" s="47">
        <f>ASSUMPTIONS!$B$28*CHOOSE(MATCH(ASSUMPTIONS!$B$7,{"Base","Stress","Upside"},0),ASSUMPTIONS!$D$28,ASSUMPTIONS!$E$28,ASSUMPTIONS!$F$28)</f>
        <v>35000</v>
      </c>
      <c r="L23" s="47">
        <f>ASSUMPTIONS!$B$28*CHOOSE(MATCH(ASSUMPTIONS!$B$7,{"Base","Stress","Upside"},0),ASSUMPTIONS!$D$28,ASSUMPTIONS!$E$28,ASSUMPTIONS!$F$28)</f>
        <v>35000</v>
      </c>
      <c r="M23" s="47">
        <f>ASSUMPTIONS!$B$28*CHOOSE(MATCH(ASSUMPTIONS!$B$7,{"Base","Stress","Upside"},0),ASSUMPTIONS!$D$28,ASSUMPTIONS!$E$28,ASSUMPTIONS!$F$28)</f>
        <v>35000</v>
      </c>
      <c r="N23" s="47">
        <f>ASSUMPTIONS!$B$28*CHOOSE(MATCH(ASSUMPTIONS!$B$7,{"Base","Stress","Upside"},0),ASSUMPTIONS!$D$28,ASSUMPTIONS!$E$28,ASSUMPTIONS!$F$28)</f>
        <v>35000</v>
      </c>
      <c r="O23" s="47">
        <f>ASSUMPTIONS!$B$28*CHOOSE(MATCH(ASSUMPTIONS!$B$7,{"Base","Stress","Upside"},0),ASSUMPTIONS!$D$28,ASSUMPTIONS!$E$28,ASSUMPTIONS!$F$28)</f>
        <v>35000</v>
      </c>
      <c r="P23" s="40">
        <f t="shared" si="3"/>
        <v>455000</v>
      </c>
    </row>
    <row r="24" spans="1:16" ht="19.5" customHeight="1" x14ac:dyDescent="0.25">
      <c r="A24" s="48" t="s">
        <v>125</v>
      </c>
      <c r="B24" s="42"/>
      <c r="C24" s="43">
        <f t="shared" ref="C24:O24" si="4">SUM(C14:C23)</f>
        <v>619250</v>
      </c>
      <c r="D24" s="43">
        <f t="shared" si="4"/>
        <v>619250</v>
      </c>
      <c r="E24" s="43">
        <f t="shared" si="4"/>
        <v>619250</v>
      </c>
      <c r="F24" s="43">
        <f t="shared" si="4"/>
        <v>619250</v>
      </c>
      <c r="G24" s="43">
        <f t="shared" si="4"/>
        <v>619250</v>
      </c>
      <c r="H24" s="43">
        <f t="shared" si="4"/>
        <v>619250</v>
      </c>
      <c r="I24" s="43">
        <f t="shared" si="4"/>
        <v>619250</v>
      </c>
      <c r="J24" s="43">
        <f t="shared" si="4"/>
        <v>619250</v>
      </c>
      <c r="K24" s="43">
        <f t="shared" si="4"/>
        <v>619250</v>
      </c>
      <c r="L24" s="43">
        <f t="shared" si="4"/>
        <v>619250</v>
      </c>
      <c r="M24" s="43">
        <f t="shared" si="4"/>
        <v>619250</v>
      </c>
      <c r="N24" s="43">
        <f t="shared" si="4"/>
        <v>619250</v>
      </c>
      <c r="O24" s="43">
        <f t="shared" si="4"/>
        <v>619250</v>
      </c>
      <c r="P24" s="43">
        <f t="shared" si="3"/>
        <v>8050250</v>
      </c>
    </row>
    <row r="25" spans="1:16" ht="19.5" customHeight="1" x14ac:dyDescent="0.25">
      <c r="A25" s="49" t="s">
        <v>126</v>
      </c>
      <c r="B25" s="50"/>
      <c r="C25" s="51">
        <f>C12-C24</f>
        <v>330750</v>
      </c>
      <c r="D25" s="51">
        <f t="shared" ref="C25:O25" si="5">D12-D24</f>
        <v>330750</v>
      </c>
      <c r="E25" s="51">
        <f t="shared" si="5"/>
        <v>330750</v>
      </c>
      <c r="F25" s="51">
        <f t="shared" si="5"/>
        <v>330750</v>
      </c>
      <c r="G25" s="51">
        <f t="shared" si="5"/>
        <v>330750</v>
      </c>
      <c r="H25" s="51">
        <f t="shared" si="5"/>
        <v>330750</v>
      </c>
      <c r="I25" s="51">
        <f t="shared" si="5"/>
        <v>330750</v>
      </c>
      <c r="J25" s="51">
        <f t="shared" si="5"/>
        <v>330750</v>
      </c>
      <c r="K25" s="51">
        <f t="shared" si="5"/>
        <v>330750</v>
      </c>
      <c r="L25" s="51">
        <f t="shared" si="5"/>
        <v>330750</v>
      </c>
      <c r="M25" s="51">
        <f t="shared" si="5"/>
        <v>330750</v>
      </c>
      <c r="N25" s="51">
        <f t="shared" si="5"/>
        <v>330750</v>
      </c>
      <c r="O25" s="51">
        <f t="shared" si="5"/>
        <v>330750</v>
      </c>
      <c r="P25" s="51">
        <f t="shared" si="3"/>
        <v>4299750</v>
      </c>
    </row>
    <row r="26" spans="1:16" ht="21.75" customHeight="1" x14ac:dyDescent="0.25">
      <c r="A26" s="52" t="s">
        <v>127</v>
      </c>
      <c r="B26" s="53"/>
      <c r="C26" s="54">
        <f>C7+C25</f>
        <v>1180750</v>
      </c>
      <c r="D26" s="54">
        <f>D7+D25</f>
        <v>1511500</v>
      </c>
      <c r="E26" s="54">
        <f t="shared" ref="C26:O26" si="6">E7+E25</f>
        <v>1842250</v>
      </c>
      <c r="F26" s="54">
        <f t="shared" si="6"/>
        <v>2173000</v>
      </c>
      <c r="G26" s="54">
        <f t="shared" si="6"/>
        <v>2503750</v>
      </c>
      <c r="H26" s="54">
        <f t="shared" si="6"/>
        <v>2834500</v>
      </c>
      <c r="I26" s="54">
        <f t="shared" si="6"/>
        <v>3165250</v>
      </c>
      <c r="J26" s="54">
        <f t="shared" si="6"/>
        <v>3496000</v>
      </c>
      <c r="K26" s="54">
        <f t="shared" si="6"/>
        <v>3826750</v>
      </c>
      <c r="L26" s="54">
        <f t="shared" si="6"/>
        <v>4157500</v>
      </c>
      <c r="M26" s="54">
        <f t="shared" si="6"/>
        <v>4488250</v>
      </c>
      <c r="N26" s="54">
        <f t="shared" si="6"/>
        <v>4819000</v>
      </c>
      <c r="O26" s="54">
        <f t="shared" si="6"/>
        <v>5149750</v>
      </c>
      <c r="P26" s="54">
        <f>O26</f>
        <v>5149750</v>
      </c>
    </row>
    <row r="28" spans="1:16" ht="42" customHeight="1" x14ac:dyDescent="0.25">
      <c r="A28" s="6" t="s">
        <v>128</v>
      </c>
      <c r="B28" s="6"/>
      <c r="C28" s="6"/>
      <c r="D28" s="6"/>
      <c r="E28" s="6"/>
      <c r="F28" s="6"/>
      <c r="G28" s="6"/>
      <c r="H28" s="6"/>
      <c r="I28" s="6"/>
      <c r="J28" s="6"/>
      <c r="K28" s="6"/>
      <c r="L28" s="6"/>
      <c r="M28" s="6"/>
      <c r="N28" s="6"/>
      <c r="O28" s="6"/>
      <c r="P28" s="6"/>
    </row>
  </sheetData>
  <mergeCells count="5">
    <mergeCell ref="A2:P2"/>
    <mergeCell ref="A3:P3"/>
    <mergeCell ref="A8:P8"/>
    <mergeCell ref="A13:P13"/>
    <mergeCell ref="A28:P2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75623"/>
  </sheetPr>
  <dimension ref="B2:S35"/>
  <sheetViews>
    <sheetView showGridLines="0" topLeftCell="A14" zoomScaleNormal="100" workbookViewId="0">
      <selection activeCell="C33" sqref="C33"/>
    </sheetView>
  </sheetViews>
  <sheetFormatPr defaultColWidth="8.7109375" defaultRowHeight="15" x14ac:dyDescent="0.25"/>
  <cols>
    <col min="1" max="1" width="3" customWidth="1"/>
    <col min="2" max="2" width="26" customWidth="1"/>
    <col min="3" max="3" width="18" customWidth="1"/>
    <col min="4" max="4" width="13.42578125" customWidth="1"/>
    <col min="5" max="5" width="26" customWidth="1"/>
    <col min="6" max="6" width="18" customWidth="1"/>
    <col min="7" max="7" width="3" customWidth="1"/>
    <col min="8" max="8" width="26" customWidth="1"/>
    <col min="9" max="9" width="18" customWidth="1"/>
    <col min="10" max="10" width="3" customWidth="1"/>
    <col min="11" max="11" width="26" customWidth="1"/>
    <col min="12" max="12" width="18" customWidth="1"/>
    <col min="18" max="18" width="10" customWidth="1"/>
    <col min="19" max="19" width="20.28515625" customWidth="1"/>
  </cols>
  <sheetData>
    <row r="2" spans="2:19" ht="30" customHeight="1" x14ac:dyDescent="0.25">
      <c r="B2" s="13" t="s">
        <v>129</v>
      </c>
      <c r="C2" s="13"/>
      <c r="D2" s="13"/>
      <c r="E2" s="13"/>
      <c r="F2" s="13"/>
      <c r="G2" s="13"/>
      <c r="H2" s="13"/>
      <c r="I2" s="13"/>
      <c r="J2" s="13"/>
      <c r="K2" s="13"/>
      <c r="L2" s="13"/>
    </row>
    <row r="3" spans="2:19" ht="18" customHeight="1" x14ac:dyDescent="0.25">
      <c r="B3" s="5" t="str">
        <f>ASSUMPTIONS!$B$7&amp;" Scenario  |  Naicents Ltd"</f>
        <v>Base Scenario  |  Naicents Ltd</v>
      </c>
      <c r="C3" s="5"/>
      <c r="D3" s="5"/>
      <c r="E3" s="5"/>
      <c r="F3" s="5"/>
      <c r="G3" s="5"/>
      <c r="H3" s="5"/>
      <c r="I3" s="5"/>
      <c r="J3" s="5"/>
      <c r="K3" s="5"/>
      <c r="L3" s="5"/>
    </row>
    <row r="4" spans="2:19" x14ac:dyDescent="0.25">
      <c r="R4" s="24" t="s">
        <v>130</v>
      </c>
      <c r="S4" s="24" t="s">
        <v>131</v>
      </c>
    </row>
    <row r="5" spans="2:19" ht="15.75" customHeight="1" x14ac:dyDescent="0.25">
      <c r="B5" s="11" t="s">
        <v>132</v>
      </c>
      <c r="C5" s="11"/>
      <c r="D5" s="11"/>
      <c r="E5" s="11"/>
      <c r="F5" s="11"/>
      <c r="G5" s="11"/>
      <c r="H5" s="11"/>
      <c r="I5" s="11"/>
      <c r="J5" s="11"/>
      <c r="K5" s="11"/>
      <c r="L5" s="11"/>
      <c r="R5" s="55" t="s">
        <v>104</v>
      </c>
      <c r="S5" s="56">
        <f>CASHFLOW!C26</f>
        <v>1180750</v>
      </c>
    </row>
    <row r="6" spans="2:19" ht="15.75" customHeight="1" x14ac:dyDescent="0.25">
      <c r="B6" s="32" t="s">
        <v>133</v>
      </c>
      <c r="E6" s="32" t="s">
        <v>134</v>
      </c>
      <c r="H6" s="32" t="s">
        <v>135</v>
      </c>
      <c r="K6" s="32" t="s">
        <v>136</v>
      </c>
      <c r="R6" s="55" t="s">
        <v>105</v>
      </c>
      <c r="S6" s="56">
        <f>CASHFLOW!D26</f>
        <v>1511500</v>
      </c>
    </row>
    <row r="7" spans="2:19" ht="15.75" customHeight="1" x14ac:dyDescent="0.25">
      <c r="B7" s="57">
        <f>CASHFLOW!C7</f>
        <v>850000</v>
      </c>
      <c r="E7" s="57">
        <f>CASHFLOW!O26</f>
        <v>5149750</v>
      </c>
      <c r="H7" s="57">
        <f>MIN(CASHFLOW!C26:O26)</f>
        <v>1180750</v>
      </c>
      <c r="K7" s="57">
        <f>CASHFLOW!P25</f>
        <v>4299750</v>
      </c>
      <c r="R7" s="55" t="s">
        <v>106</v>
      </c>
      <c r="S7" s="56">
        <f>CASHFLOW!E26</f>
        <v>1842250</v>
      </c>
    </row>
    <row r="8" spans="2:19" ht="15.75" customHeight="1" x14ac:dyDescent="0.25">
      <c r="R8" s="55" t="s">
        <v>107</v>
      </c>
      <c r="S8" s="56">
        <f>CASHFLOW!F26</f>
        <v>2173000</v>
      </c>
    </row>
    <row r="9" spans="2:19" ht="15.75" customHeight="1" x14ac:dyDescent="0.25">
      <c r="B9" s="4" t="str">
        <f>IF(MIN(CASHFLOW!C26:O26)&lt;ASSUMPTIONS!$B$8,"WARNING: Cash balance falls below the minimum threshold of KES "&amp; TEXT(ASSUMPTIONS!$B$8,"#,##0")&amp;" in one or more weeks. Review outflow timing.","HEALTHY: Cash balance remains above the minimum threshold of KES "&amp; TEXT(ASSUMPTIONS!$B$8,"#,##0")&amp;" throughout the 13-week period.")</f>
        <v>HEALTHY: Cash balance remains above the minimum threshold of KES 500,000 throughout the 13-week period.</v>
      </c>
      <c r="C9" s="4"/>
      <c r="D9" s="4"/>
      <c r="E9" s="4"/>
      <c r="F9" s="4"/>
      <c r="G9" s="4"/>
      <c r="H9" s="4"/>
      <c r="I9" s="4"/>
      <c r="J9" s="4"/>
      <c r="K9" s="4"/>
      <c r="L9" s="4"/>
      <c r="R9" s="55" t="s">
        <v>108</v>
      </c>
      <c r="S9" s="56">
        <f>CASHFLOW!G26</f>
        <v>2503750</v>
      </c>
    </row>
    <row r="10" spans="2:19" ht="15.75" customHeight="1" x14ac:dyDescent="0.25">
      <c r="R10" s="55" t="s">
        <v>109</v>
      </c>
      <c r="S10" s="56">
        <f>CASHFLOW!H26</f>
        <v>2834500</v>
      </c>
    </row>
    <row r="11" spans="2:19" ht="15.75" customHeight="1" x14ac:dyDescent="0.25">
      <c r="R11" s="55" t="s">
        <v>110</v>
      </c>
      <c r="S11" s="56">
        <f>CASHFLOW!I26</f>
        <v>3165250</v>
      </c>
    </row>
    <row r="12" spans="2:19" ht="15.75" customHeight="1" x14ac:dyDescent="0.25">
      <c r="R12" s="55" t="s">
        <v>111</v>
      </c>
      <c r="S12" s="56">
        <f>CASHFLOW!J26</f>
        <v>3496000</v>
      </c>
    </row>
    <row r="13" spans="2:19" ht="15.75" customHeight="1" x14ac:dyDescent="0.25">
      <c r="R13" s="55" t="s">
        <v>112</v>
      </c>
      <c r="S13" s="56">
        <f>CASHFLOW!K26</f>
        <v>3826750</v>
      </c>
    </row>
    <row r="14" spans="2:19" ht="15.75" customHeight="1" x14ac:dyDescent="0.25">
      <c r="R14" s="55" t="s">
        <v>113</v>
      </c>
      <c r="S14" s="56">
        <f>CASHFLOW!L26</f>
        <v>4157500</v>
      </c>
    </row>
    <row r="15" spans="2:19" ht="15.75" customHeight="1" x14ac:dyDescent="0.25">
      <c r="R15" s="55" t="s">
        <v>114</v>
      </c>
      <c r="S15" s="56">
        <f>CASHFLOW!M26</f>
        <v>4488250</v>
      </c>
    </row>
    <row r="16" spans="2:19" ht="15.75" customHeight="1" x14ac:dyDescent="0.25">
      <c r="R16" s="55" t="s">
        <v>115</v>
      </c>
      <c r="S16" s="56">
        <f>CASHFLOW!N26</f>
        <v>4819000</v>
      </c>
    </row>
    <row r="17" spans="2:19" ht="15.75" customHeight="1" x14ac:dyDescent="0.25">
      <c r="R17" s="55" t="s">
        <v>116</v>
      </c>
      <c r="S17" s="56">
        <f>CASHFLOW!O26</f>
        <v>5149750</v>
      </c>
    </row>
    <row r="31" spans="2:19" ht="19.5" customHeight="1" x14ac:dyDescent="0.25">
      <c r="B31" s="11" t="s">
        <v>137</v>
      </c>
      <c r="C31" s="11"/>
      <c r="D31" s="11"/>
      <c r="E31" s="11"/>
      <c r="F31" s="11"/>
      <c r="G31" s="11"/>
      <c r="H31" s="11"/>
      <c r="I31" s="11"/>
      <c r="J31" s="11"/>
      <c r="K31" s="11"/>
      <c r="L31" s="11"/>
    </row>
    <row r="32" spans="2:19" ht="30.75" customHeight="1" x14ac:dyDescent="0.25">
      <c r="B32" s="24" t="s">
        <v>138</v>
      </c>
      <c r="C32" s="24" t="s">
        <v>139</v>
      </c>
      <c r="D32" s="68" t="s">
        <v>140</v>
      </c>
      <c r="E32" s="23" t="s">
        <v>141</v>
      </c>
      <c r="F32" s="58"/>
      <c r="G32" s="58"/>
      <c r="H32" s="58"/>
      <c r="I32" s="58"/>
      <c r="J32" s="58"/>
      <c r="K32" s="58"/>
      <c r="L32" s="58"/>
    </row>
    <row r="33" spans="2:12" ht="19.5" customHeight="1" x14ac:dyDescent="0.25">
      <c r="B33" s="59" t="s">
        <v>58</v>
      </c>
      <c r="C33" s="60">
        <f>ASSUMPTIONS!$B$9+13*(ASSUMPTIONS!$B$13*ASSUMPTIONS!$D$13+ASSUMPTIONS!$B$15*ASSUMPTIONS!$D$15)-13*(ASSUMPTIONS!$B$19*ASSUMPTIONS!$D$19+ASSUMPTIONS!$B$20*ASSUMPTIONS!$D$20+ASSUMPTIONS!$B$21*ASSUMPTIONS!$D$21+ASSUMPTIONS!$B$22*ASSUMPTIONS!$D$22+ASSUMPTIONS!$B$23*ASSUMPTIONS!$D$23+ASSUMPTIONS!$B$24*ASSUMPTIONS!$D$24+ASSUMPTIONS!$B$25*ASSUMPTIONS!$D$25+ASSUMPTIONS!$B$26*ASSUMPTIONS!$D$26+ASSUMPTIONS!$B$27*ASSUMPTIONS!$D$27+ASSUMPTIONS!$B$28*ASSUMPTIONS!$D$28)</f>
        <v>5149750</v>
      </c>
      <c r="D33" s="61" t="s">
        <v>142</v>
      </c>
      <c r="E33" s="3" t="s">
        <v>143</v>
      </c>
      <c r="F33" s="3"/>
      <c r="G33" s="3"/>
      <c r="H33" s="3"/>
      <c r="I33" s="3"/>
      <c r="J33" s="3"/>
      <c r="K33" s="3"/>
      <c r="L33" s="3"/>
    </row>
    <row r="34" spans="2:12" ht="19.5" customHeight="1" x14ac:dyDescent="0.25">
      <c r="B34" s="62" t="s">
        <v>68</v>
      </c>
      <c r="C34" s="63">
        <f>ASSUMPTIONS!$B$9+13*(ASSUMPTIONS!$B$13*ASSUMPTIONS!$E$13+ASSUMPTIONS!$B$15*ASSUMPTIONS!$E$15)-13*(ASSUMPTIONS!$B$19*ASSUMPTIONS!$E$19+ASSUMPTIONS!$B$20*ASSUMPTIONS!$E$20+ASSUMPTIONS!$B$21*ASSUMPTIONS!$E$21+ASSUMPTIONS!$B$22*ASSUMPTIONS!$E$22+ASSUMPTIONS!$B$23*ASSUMPTIONS!$E$23+ASSUMPTIONS!$B$24*ASSUMPTIONS!$E$24+ASSUMPTIONS!$B$25*ASSUMPTIONS!$E$25+ASSUMPTIONS!$B$26*ASSUMPTIONS!$E$26+ASSUMPTIONS!$B$27*ASSUMPTIONS!$E$27+ASSUMPTIONS!$B$28*ASSUMPTIONS!$E$28)</f>
        <v>853250</v>
      </c>
      <c r="D34" s="64">
        <f>C34-C33</f>
        <v>-4296500</v>
      </c>
      <c r="E34" s="2" t="s">
        <v>144</v>
      </c>
      <c r="F34" s="2"/>
      <c r="G34" s="2"/>
      <c r="H34" s="2"/>
      <c r="I34" s="2"/>
      <c r="J34" s="2"/>
      <c r="K34" s="2"/>
      <c r="L34" s="2"/>
    </row>
    <row r="35" spans="2:12" ht="19.5" customHeight="1" x14ac:dyDescent="0.25">
      <c r="B35" s="65" t="s">
        <v>69</v>
      </c>
      <c r="C35" s="66">
        <f>ASSUMPTIONS!$B$9+13*(ASSUMPTIONS!$B$13*ASSUMPTIONS!$F$13+ASSUMPTIONS!$B$15*ASSUMPTIONS!$F$15)-13*(ASSUMPTIONS!$B$19*ASSUMPTIONS!$F$19+ASSUMPTIONS!$B$20*ASSUMPTIONS!$F$20+ASSUMPTIONS!$B$21*ASSUMPTIONS!$F$21+ASSUMPTIONS!$B$22*ASSUMPTIONS!$F$22+ASSUMPTIONS!$B$23*ASSUMPTIONS!$F$23+ASSUMPTIONS!$B$24*ASSUMPTIONS!$F$24+ASSUMPTIONS!$B$25*ASSUMPTIONS!$F$25+ASSUMPTIONS!$B$26*ASSUMPTIONS!$F$26+ASSUMPTIONS!$B$27*ASSUMPTIONS!$F$27+ASSUMPTIONS!$B$28*ASSUMPTIONS!$F$28)</f>
        <v>8178750</v>
      </c>
      <c r="D35" s="67">
        <f>C35-C33</f>
        <v>3029000</v>
      </c>
      <c r="E35" s="1" t="s">
        <v>145</v>
      </c>
      <c r="F35" s="1"/>
      <c r="G35" s="1"/>
      <c r="H35" s="1"/>
      <c r="I35" s="1"/>
      <c r="J35" s="1"/>
      <c r="K35" s="1"/>
      <c r="L35" s="1"/>
    </row>
  </sheetData>
  <mergeCells count="8">
    <mergeCell ref="E33:L33"/>
    <mergeCell ref="E34:L34"/>
    <mergeCell ref="E35:L35"/>
    <mergeCell ref="B2:L2"/>
    <mergeCell ref="B3:L3"/>
    <mergeCell ref="B5:L5"/>
    <mergeCell ref="B9:L9"/>
    <mergeCell ref="B31:L31"/>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ASSUMPTIONS</vt:lpstr>
      <vt:lpstr>CASHFLOW</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Prince</cp:lastModifiedBy>
  <cp:revision>1</cp:revision>
  <dcterms:created xsi:type="dcterms:W3CDTF">2026-05-05T12:59:58Z</dcterms:created>
  <dcterms:modified xsi:type="dcterms:W3CDTF">2026-05-05T13:53:56Z</dcterms:modified>
  <dc:language>en-US</dc:language>
</cp:coreProperties>
</file>