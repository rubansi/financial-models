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xr:revisionPtr revIDLastSave="0" documentId="13_ncr:1_{F63FF812-BE32-40AB-83D9-703E5488F6D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INSTRUCTIONS" sheetId="1" r:id="rId1"/>
    <sheet name="INPUT" sheetId="2" r:id="rId2"/>
    <sheet name="RATIOS" sheetId="3" r:id="rId3"/>
    <sheet name="DASHBOARD" sheetId="4" r:id="rId4"/>
    <sheet name="BENCHMARK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B7" i="4"/>
  <c r="B3" i="4"/>
  <c r="E43" i="3"/>
  <c r="D43" i="3"/>
  <c r="E42" i="3"/>
  <c r="C42" i="3"/>
  <c r="B42" i="3"/>
  <c r="E41" i="3"/>
  <c r="E40" i="3"/>
  <c r="E37" i="3"/>
  <c r="E36" i="3"/>
  <c r="E35" i="3"/>
  <c r="C35" i="3"/>
  <c r="B35" i="3"/>
  <c r="E34" i="3"/>
  <c r="N41" i="4" s="1"/>
  <c r="E33" i="3"/>
  <c r="N40" i="4" s="1"/>
  <c r="E32" i="3"/>
  <c r="N39" i="4" s="1"/>
  <c r="C32" i="3"/>
  <c r="B32" i="3"/>
  <c r="E29" i="3"/>
  <c r="C29" i="3"/>
  <c r="B29" i="3"/>
  <c r="E28" i="3"/>
  <c r="E27" i="3"/>
  <c r="C27" i="3"/>
  <c r="B27" i="3"/>
  <c r="E26" i="3"/>
  <c r="C26" i="3"/>
  <c r="B26" i="3"/>
  <c r="E25" i="3"/>
  <c r="C25" i="3"/>
  <c r="B25" i="3"/>
  <c r="E24" i="3"/>
  <c r="C24" i="3"/>
  <c r="B24" i="3"/>
  <c r="E21" i="3"/>
  <c r="E20" i="3"/>
  <c r="N38" i="4" s="1"/>
  <c r="C20" i="3"/>
  <c r="B20" i="3"/>
  <c r="F19" i="3"/>
  <c r="E19" i="3"/>
  <c r="N37" i="4" s="1"/>
  <c r="C19" i="3"/>
  <c r="B19" i="3"/>
  <c r="E18" i="3"/>
  <c r="N36" i="4" s="1"/>
  <c r="C18" i="3"/>
  <c r="B18" i="3"/>
  <c r="E15" i="3"/>
  <c r="C15" i="3"/>
  <c r="B15" i="3"/>
  <c r="E14" i="3"/>
  <c r="E13" i="3"/>
  <c r="E12" i="3"/>
  <c r="E11" i="3"/>
  <c r="E10" i="3"/>
  <c r="E9" i="3"/>
  <c r="E8" i="3"/>
  <c r="C8" i="3"/>
  <c r="N31" i="4" s="1"/>
  <c r="A3" i="3"/>
  <c r="C59" i="2"/>
  <c r="B59" i="2"/>
  <c r="C53" i="2"/>
  <c r="B53" i="2"/>
  <c r="C49" i="2"/>
  <c r="C61" i="2" s="1"/>
  <c r="B49" i="2"/>
  <c r="C41" i="2"/>
  <c r="B41" i="2"/>
  <c r="C36" i="2"/>
  <c r="C42" i="2" s="1"/>
  <c r="B36" i="2"/>
  <c r="B42" i="2" s="1"/>
  <c r="C21" i="2"/>
  <c r="B21" i="2"/>
  <c r="C13" i="2"/>
  <c r="C22" i="2" s="1"/>
  <c r="B13" i="2"/>
  <c r="B22" i="2" l="1"/>
  <c r="B8" i="3"/>
  <c r="B61" i="2"/>
  <c r="B62" i="2" s="1"/>
  <c r="D42" i="3"/>
  <c r="F42" i="3"/>
  <c r="F35" i="3"/>
  <c r="D35" i="3"/>
  <c r="M39" i="4"/>
  <c r="D32" i="3"/>
  <c r="F32" i="3"/>
  <c r="F29" i="3"/>
  <c r="D29" i="3"/>
  <c r="F16" i="4"/>
  <c r="D27" i="3"/>
  <c r="F27" i="3"/>
  <c r="D26" i="3"/>
  <c r="F26" i="3"/>
  <c r="F25" i="3"/>
  <c r="D25" i="3"/>
  <c r="D24" i="3"/>
  <c r="F24" i="3"/>
  <c r="E16" i="4" s="1"/>
  <c r="M38" i="4"/>
  <c r="D20" i="3"/>
  <c r="F20" i="3"/>
  <c r="M37" i="4"/>
  <c r="D19" i="3"/>
  <c r="M36" i="4"/>
  <c r="B10" i="4"/>
  <c r="C10" i="4"/>
  <c r="F18" i="3"/>
  <c r="E15" i="4" s="1"/>
  <c r="D18" i="3"/>
  <c r="F15" i="4"/>
  <c r="F15" i="3"/>
  <c r="D15" i="3"/>
  <c r="F7" i="4"/>
  <c r="E7" i="4"/>
  <c r="F8" i="3"/>
  <c r="E14" i="4" s="1"/>
  <c r="D8" i="3"/>
  <c r="M31" i="4"/>
  <c r="C62" i="2"/>
  <c r="C28" i="3"/>
  <c r="C33" i="3"/>
  <c r="C37" i="3"/>
  <c r="B33" i="3"/>
  <c r="B28" i="3"/>
  <c r="B37" i="3"/>
  <c r="C24" i="2"/>
  <c r="C26" i="2" s="1"/>
  <c r="C27" i="2"/>
  <c r="C9" i="3"/>
  <c r="N32" i="4" s="1"/>
  <c r="C13" i="3"/>
  <c r="C34" i="3"/>
  <c r="B9" i="3"/>
  <c r="B34" i="3"/>
  <c r="B13" i="3"/>
  <c r="B24" i="2" l="1"/>
  <c r="B26" i="2" s="1"/>
  <c r="B10" i="3" s="1"/>
  <c r="B27" i="2"/>
  <c r="D33" i="3"/>
  <c r="F33" i="3"/>
  <c r="M40" i="4"/>
  <c r="D28" i="3"/>
  <c r="F28" i="3"/>
  <c r="D37" i="3"/>
  <c r="F37" i="3"/>
  <c r="C10" i="3"/>
  <c r="N33" i="4" s="1"/>
  <c r="C11" i="3"/>
  <c r="C12" i="3"/>
  <c r="C41" i="3"/>
  <c r="C21" i="3"/>
  <c r="C40" i="3"/>
  <c r="C14" i="3"/>
  <c r="C36" i="3"/>
  <c r="B11" i="3"/>
  <c r="B12" i="3"/>
  <c r="B40" i="3"/>
  <c r="B41" i="3"/>
  <c r="B21" i="3"/>
  <c r="B14" i="3"/>
  <c r="B36" i="3"/>
  <c r="D9" i="3"/>
  <c r="F9" i="3"/>
  <c r="M32" i="4"/>
  <c r="H10" i="4"/>
  <c r="I10" i="4"/>
  <c r="D34" i="3"/>
  <c r="F17" i="4"/>
  <c r="M41" i="4"/>
  <c r="F34" i="3"/>
  <c r="E17" i="4" s="1"/>
  <c r="D13" i="3"/>
  <c r="F13" i="3"/>
  <c r="F14" i="4" l="1"/>
  <c r="D10" i="3"/>
  <c r="F10" i="3"/>
  <c r="H7" i="4"/>
  <c r="I7" i="4"/>
  <c r="M33" i="4"/>
  <c r="D11" i="3"/>
  <c r="F11" i="3"/>
  <c r="D12" i="3"/>
  <c r="F12" i="3"/>
  <c r="E10" i="4"/>
  <c r="F10" i="4"/>
  <c r="F40" i="3"/>
  <c r="E18" i="4" s="1"/>
  <c r="D40" i="3"/>
  <c r="F18" i="4"/>
  <c r="D41" i="3"/>
  <c r="F41" i="3"/>
  <c r="D21" i="3"/>
  <c r="F21" i="3"/>
  <c r="D14" i="3"/>
  <c r="F14" i="3"/>
  <c r="D36" i="3"/>
  <c r="F36" i="3"/>
</calcChain>
</file>

<file path=xl/sharedStrings.xml><?xml version="1.0" encoding="utf-8"?>
<sst xmlns="http://schemas.openxmlformats.org/spreadsheetml/2006/main" count="362" uniqueCount="294">
  <si>
    <t>FINANCIAL STATEMENTS RATIO ANALYZER</t>
  </si>
  <si>
    <t>Naicents Ltd  |  Kenya Financial Consultancy  |  Client Advisory Tool</t>
  </si>
  <si>
    <t>PURPOSE</t>
  </si>
  <si>
    <t>This tool calculates 28 financial ratios from two years of financial statements, organized into five groups: Profitability, Liquidity, Efficiency, Leverage/Solvency, and Valuation. Each ratio includes a benchmark comparison, year-on-year trend, and auto-generated flag (Strong/Acceptable/Caution/Weak). The DASHBOARD provides a one-page executive summary for client presentations. All monetary inputs are in KES thousands (KES '000). No macros.</t>
  </si>
  <si>
    <t>TABS</t>
  </si>
  <si>
    <t>INSTRUCTIONS</t>
  </si>
  <si>
    <t>This tab.</t>
  </si>
  <si>
    <t>INPUT</t>
  </si>
  <si>
    <t>Enter all financial data here. Blue-shaded cells only. Two years required.</t>
  </si>
  <si>
    <t>RATIOS</t>
  </si>
  <si>
    <t>All 28 ratios auto-calculated with flags, benchmarks, and YoY trends.</t>
  </si>
  <si>
    <t>DASHBOARD</t>
  </si>
  <si>
    <t>One-page executive summary with KPI cards, charts, RAG status, and commentary.</t>
  </si>
  <si>
    <t>BENCHMARKS</t>
  </si>
  <si>
    <t>Editable benchmark table. Adjust for manufacturing, retail, or services.</t>
  </si>
  <si>
    <t>HOW TO USE</t>
  </si>
  <si>
    <t>Step 1</t>
  </si>
  <si>
    <t>INPUT tab, cell B5: Enter the company name.</t>
  </si>
  <si>
    <t>Step 2</t>
  </si>
  <si>
    <t>INPUT tab, cells B6/C6: Enter the Current Year and Prior Year period labels.</t>
  </si>
  <si>
    <t>Step 3</t>
  </si>
  <si>
    <t>Enter CY figures in column B and PY figures in column C. Blue cells only.</t>
  </si>
  <si>
    <t>Step 4</t>
  </si>
  <si>
    <t>Confirm the Balance Sheet Check (row 62) shows BALANCED before proceeding.</t>
  </si>
  <si>
    <t>Step 5</t>
  </si>
  <si>
    <t>Open RATIOS tab to review all calculated ratios and flags.</t>
  </si>
  <si>
    <t>Step 6</t>
  </si>
  <si>
    <t>Open DASHBOARD for the executive summary and charts.</t>
  </si>
  <si>
    <t>Step 7</t>
  </si>
  <si>
    <t>Adjust benchmarks on the BENCHMARKS tab for the client's specific industry.</t>
  </si>
  <si>
    <t>Step 8</t>
  </si>
  <si>
    <t>For valuation ratios, enter the market price per share in INPUT!B67.</t>
  </si>
  <si>
    <t>COLOR GUIDE</t>
  </si>
  <si>
    <t>Blue text on light-blue cell</t>
  </si>
  <si>
    <t>Editable input. Enter your data here.</t>
  </si>
  <si>
    <t>Black text on white cell</t>
  </si>
  <si>
    <t>Formula result. Do not edit.</t>
  </si>
  <si>
    <t>Green text on white cell</t>
  </si>
  <si>
    <t>Cross-sheet formula. Do not edit.</t>
  </si>
  <si>
    <t>Green background on FLAG cell</t>
  </si>
  <si>
    <t>Strong — ratio exceeds benchmark comfortably.</t>
  </si>
  <si>
    <t>Amber background on FLAG cell</t>
  </si>
  <si>
    <t>Caution — ratio approaching threshold. Monitor closely.</t>
  </si>
  <si>
    <t>Red background on FLAG cell</t>
  </si>
  <si>
    <t>Weak — ratio below acceptable range. Action required.</t>
  </si>
  <si>
    <t>DISCLAIMER</t>
  </si>
  <si>
    <t>Prepared by Naicents Ltd for analytical and advisory purposes only. Benchmarks are indicative and based on Kenyan SME norms. Adjust on BENCHMARKS tab for industry-specific contexts. This does not constitute audited financial statements. Naicents Ltd accepts no liability for decisions made based on this analysis.</t>
  </si>
  <si>
    <t>INPUT — CLIENT FINANCIAL DATA</t>
  </si>
  <si>
    <t>Naicents Ltd  |  Blue cells are editable inputs  |  All monetary values in KES '000 (divide actuals by 1,000)</t>
  </si>
  <si>
    <t>Company Name</t>
  </si>
  <si>
    <t>Savanna Manufacturing Ltd</t>
  </si>
  <si>
    <t>Enter the legal name of the client entity.</t>
  </si>
  <si>
    <t>Reporting Period</t>
  </si>
  <si>
    <t>FY 2025</t>
  </si>
  <si>
    <t>FY 2024</t>
  </si>
  <si>
    <t>Current Year label (B) and Prior Year label (C).</t>
  </si>
  <si>
    <t>Currency / Units</t>
  </si>
  <si>
    <t>KES '000</t>
  </si>
  <si>
    <t>All monetary amounts in thousands of KES.</t>
  </si>
  <si>
    <t>INCOME STATEMENT</t>
  </si>
  <si>
    <t>LINE ITEM</t>
  </si>
  <si>
    <t>CY (KES '000)</t>
  </si>
  <si>
    <t>PY (KES '000)</t>
  </si>
  <si>
    <t>Notes</t>
  </si>
  <si>
    <t>Revenue</t>
  </si>
  <si>
    <t>Total turnover / sales for the period</t>
  </si>
  <si>
    <t>Cost of Sales</t>
  </si>
  <si>
    <t>Direct costs of goods sold / cost of production</t>
  </si>
  <si>
    <t>GROSS PROFIT</t>
  </si>
  <si>
    <t>Revenue minus Cost of Sales</t>
  </si>
  <si>
    <t xml:space="preserve">  Operating Expenses</t>
  </si>
  <si>
    <t xml:space="preserve">  Salaries &amp; Wages</t>
  </si>
  <si>
    <t>Employee salaries, wages, and benefits</t>
  </si>
  <si>
    <t xml:space="preserve">  Rent</t>
  </si>
  <si>
    <t>Premises lease and rent costs</t>
  </si>
  <si>
    <t xml:space="preserve">  Utilities</t>
  </si>
  <si>
    <t>Electricity, water, internet, and fuel</t>
  </si>
  <si>
    <t xml:space="preserve">  Depreciation &amp; Amortisation</t>
  </si>
  <si>
    <t>Non-cash charge on PPE and intangibles</t>
  </si>
  <si>
    <t xml:space="preserve">  Other Overheads</t>
  </si>
  <si>
    <t>Administration, transport, sundry expenses</t>
  </si>
  <si>
    <t>Total Operating Expenses</t>
  </si>
  <si>
    <t>Sum of all operating expense lines above</t>
  </si>
  <si>
    <t>EBIT (Operating Profit)</t>
  </si>
  <si>
    <t>Gross Profit minus Total Operating Expenses</t>
  </si>
  <si>
    <t>Finance Costs</t>
  </si>
  <si>
    <t>Interest on loans and other borrowing costs</t>
  </si>
  <si>
    <t>PROFIT BEFORE TAX</t>
  </si>
  <si>
    <t>EBIT minus Finance Costs</t>
  </si>
  <si>
    <t>Income Tax</t>
  </si>
  <si>
    <t>Current year tax charge per income tax computation</t>
  </si>
  <si>
    <t>PROFIT AFTER TAX (PAT)</t>
  </si>
  <si>
    <t>Bottom-line profit after tax</t>
  </si>
  <si>
    <t>EBITDA</t>
  </si>
  <si>
    <t>EBIT plus Depreciation &amp; Amortisation</t>
  </si>
  <si>
    <t>BALANCE SHEET</t>
  </si>
  <si>
    <t xml:space="preserve">  Current Assets</t>
  </si>
  <si>
    <t xml:space="preserve">  Cash &amp; Cash Equivalents</t>
  </si>
  <si>
    <t>Bank balances and petty cash</t>
  </si>
  <si>
    <t xml:space="preserve">  Trade Receivables</t>
  </si>
  <si>
    <t>Debtors / amounts owed by customers</t>
  </si>
  <si>
    <t xml:space="preserve">  Inventory</t>
  </si>
  <si>
    <t>Raw materials, WIP, finished goods</t>
  </si>
  <si>
    <t xml:space="preserve">  Other Current Assets</t>
  </si>
  <si>
    <t>Prepayments, other short-term assets</t>
  </si>
  <si>
    <t>TOTAL CURRENT ASSETS</t>
  </si>
  <si>
    <t xml:space="preserve">  Non-Current Assets</t>
  </si>
  <si>
    <t xml:space="preserve">  Property, Plant &amp; Equipment (Net)</t>
  </si>
  <si>
    <t>PPE net of accumulated depreciation</t>
  </si>
  <si>
    <t xml:space="preserve">  Intangible Assets</t>
  </si>
  <si>
    <t>Goodwill, licenses, software</t>
  </si>
  <si>
    <t xml:space="preserve">  Other Non-Current Assets</t>
  </si>
  <si>
    <t>Long-term deposits, investments</t>
  </si>
  <si>
    <t>TOTAL NON-CURRENT ASSETS</t>
  </si>
  <si>
    <t>TOTAL ASSETS</t>
  </si>
  <si>
    <t xml:space="preserve">  Current Liabilities</t>
  </si>
  <si>
    <t xml:space="preserve">  Trade Payables</t>
  </si>
  <si>
    <t>Creditors / amounts owed to suppliers</t>
  </si>
  <si>
    <t xml:space="preserve">  Short-Term Debt</t>
  </si>
  <si>
    <t>Overdrafts and current portion of LTD</t>
  </si>
  <si>
    <t xml:space="preserve">  Tax Payable</t>
  </si>
  <si>
    <t>Corporation tax payable to KRA</t>
  </si>
  <si>
    <t xml:space="preserve">  Other Current Liabilities</t>
  </si>
  <si>
    <t>Accruals, deferred income, other payables</t>
  </si>
  <si>
    <t>TOTAL CURRENT LIABILITIES</t>
  </si>
  <si>
    <t xml:space="preserve">  Non-Current Liabilities</t>
  </si>
  <si>
    <t xml:space="preserve">  Long-Term Debt</t>
  </si>
  <si>
    <t>Bank loans, bonds, long-term borrowings</t>
  </si>
  <si>
    <t xml:space="preserve">  Other Non-Current Liabilities</t>
  </si>
  <si>
    <t>Deferred tax, long-term provisions</t>
  </si>
  <si>
    <t>TOTAL NON-CURRENT LIABILITIES</t>
  </si>
  <si>
    <t xml:space="preserve">  Equity</t>
  </si>
  <si>
    <t xml:space="preserve">  Share Capital</t>
  </si>
  <si>
    <t>Ordinary share capital at nominal value</t>
  </si>
  <si>
    <t xml:space="preserve">  Retained Earnings</t>
  </si>
  <si>
    <t>Accumulated retained profits</t>
  </si>
  <si>
    <t xml:space="preserve">  Other Equity / Reserves</t>
  </si>
  <si>
    <t>Share premium, revaluation and other reserves</t>
  </si>
  <si>
    <t>TOTAL EQUITY</t>
  </si>
  <si>
    <t>TOTAL LIABILITIES + EQUITY</t>
  </si>
  <si>
    <t>Balance Sheet Check</t>
  </si>
  <si>
    <t>Must show BALANCED before using RATIOS and DASHBOARD.</t>
  </si>
  <si>
    <t>SUPPORTING DATA</t>
  </si>
  <si>
    <t>Number of Shares ('000)</t>
  </si>
  <si>
    <t>Total shares in issue, in thousands</t>
  </si>
  <si>
    <t>Market Price per Share (KES)</t>
  </si>
  <si>
    <t>Share price on NSE (optional — for valuation ratios)</t>
  </si>
  <si>
    <t>Number of Employees</t>
  </si>
  <si>
    <t>Full-time equivalent employees at period end</t>
  </si>
  <si>
    <t>Capital Expenditure (KES '000)</t>
  </si>
  <si>
    <t>Cash spent on PPE and capital projects</t>
  </si>
  <si>
    <t>RATIO ANALYSIS</t>
  </si>
  <si>
    <t>RATIO</t>
  </si>
  <si>
    <t>CURRENT YEAR</t>
  </si>
  <si>
    <t>PRIOR YEAR</t>
  </si>
  <si>
    <t>YoY CHANGE</t>
  </si>
  <si>
    <t>BENCHMARK</t>
  </si>
  <si>
    <t>FLAG</t>
  </si>
  <si>
    <t>NOTES</t>
  </si>
  <si>
    <t>PROFITABILITY</t>
  </si>
  <si>
    <t>Gross Profit Margin</t>
  </si>
  <si>
    <t>Operating (EBIT) Margin</t>
  </si>
  <si>
    <t>Net Profit Margin</t>
  </si>
  <si>
    <t>Return on Assets (ROA)</t>
  </si>
  <si>
    <t>Return on Equity (ROE)</t>
  </si>
  <si>
    <t>Return on Capital Employed (ROCE)</t>
  </si>
  <si>
    <t>EBITDA Margin</t>
  </si>
  <si>
    <t>Cost-to-Income Ratio</t>
  </si>
  <si>
    <t>LIQUIDITY</t>
  </si>
  <si>
    <t>Current Ratio</t>
  </si>
  <si>
    <t>Quick Ratio (Acid Test)</t>
  </si>
  <si>
    <t>Cash Ratio</t>
  </si>
  <si>
    <t>Operating Cash Conversion</t>
  </si>
  <si>
    <t>EFFICIENCY</t>
  </si>
  <si>
    <t>Debtor Days (DSO)</t>
  </si>
  <si>
    <t>Creditor Days (DPO)</t>
  </si>
  <si>
    <t>Inventory Days</t>
  </si>
  <si>
    <t>Cash Conversion Cycle (CCC)</t>
  </si>
  <si>
    <t>Asset Turnover</t>
  </si>
  <si>
    <t>Revenue per Employee (KES '000)</t>
  </si>
  <si>
    <t>LEVERAGE / SOLVENCY</t>
  </si>
  <si>
    <t>Debt-to-Equity Ratio</t>
  </si>
  <si>
    <t>Debt-to-Assets Ratio</t>
  </si>
  <si>
    <t>Interest Coverage Ratio</t>
  </si>
  <si>
    <t>Net Debt (KES '000)</t>
  </si>
  <si>
    <t>Net Debt to EBITDA</t>
  </si>
  <si>
    <t>Equity Multiplier</t>
  </si>
  <si>
    <t>VALUATION</t>
  </si>
  <si>
    <t>Earnings per Share (EPS)</t>
  </si>
  <si>
    <t>Price-to-Earnings (P/E)</t>
  </si>
  <si>
    <t>Price-to-Book (P/B)</t>
  </si>
  <si>
    <t>Dividend Yield</t>
  </si>
  <si>
    <t>"-"</t>
  </si>
  <si>
    <t>Note: Valuation ratios require market price per share in INPUT!B67. EPS = PAT / Shares (KES per share). P/B = Market Cap / Total Equity.</t>
  </si>
  <si>
    <t>FINANCIAL ANALYSIS DASHBOARD</t>
  </si>
  <si>
    <t>KEY PERFORMANCE INDICATORS</t>
  </si>
  <si>
    <t>Revenue (KES '000)</t>
  </si>
  <si>
    <t>Interest Coverage</t>
  </si>
  <si>
    <t>HEALTH STATUS BY RATIO GROUP</t>
  </si>
  <si>
    <t>Ratio Group</t>
  </si>
  <si>
    <t>Status</t>
  </si>
  <si>
    <t>Auto-Commentary</t>
  </si>
  <si>
    <t>Metric</t>
  </si>
  <si>
    <t>CY</t>
  </si>
  <si>
    <t>PY</t>
  </si>
  <si>
    <t>GP Margin</t>
  </si>
  <si>
    <t>EBIT Margin</t>
  </si>
  <si>
    <t>Charts auto-refresh when INPUT data changes. Flag colours: Green = Strong, Blue = Acceptable, Amber = Caution, Red = Weak.</t>
  </si>
  <si>
    <t>NP Margin</t>
  </si>
  <si>
    <t>Ratio</t>
  </si>
  <si>
    <t>Actual</t>
  </si>
  <si>
    <t>Benchmark</t>
  </si>
  <si>
    <t>Quick Ratio</t>
  </si>
  <si>
    <t>D/E Ratio</t>
  </si>
  <si>
    <t>D/A Ratio</t>
  </si>
  <si>
    <t>Int. Coverage</t>
  </si>
  <si>
    <t>BENCHMARKS — EDITABLE REFERENCE TABLE</t>
  </si>
  <si>
    <t>Adjust column B values to match the client's industry. Column B is referenced live by the RATIOS tab.</t>
  </si>
  <si>
    <t>Percentage ratios: enter as decimals (0.35 = 35%). Multiples and days: enter as numbers. Enter N/A rows as text where no numeric benchmark applies.</t>
  </si>
  <si>
    <t>Ratio Name</t>
  </si>
  <si>
    <t>Benchmark Value</t>
  </si>
  <si>
    <t>Kenya SME Range</t>
  </si>
  <si>
    <t>General Industry Benchmark</t>
  </si>
  <si>
    <t>Notes &amp; Interpretation Guidance</t>
  </si>
  <si>
    <t>25%–45%</t>
  </si>
  <si>
    <t>30%–50%</t>
  </si>
  <si>
    <t>Higher for value-add manufacturing. Min 25% to cover overheads.</t>
  </si>
  <si>
    <t>8%–18%</t>
  </si>
  <si>
    <t>10%–20%</t>
  </si>
  <si>
    <t>Below 8% suggests overhead pressure. Target 12%+ for SMEs.</t>
  </si>
  <si>
    <t>5%–15%</t>
  </si>
  <si>
    <t>7%–15%</t>
  </si>
  <si>
    <t>Below 5% is a red flag for sustainability.</t>
  </si>
  <si>
    <t>8%–15%</t>
  </si>
  <si>
    <t>10%–18%</t>
  </si>
  <si>
    <t>Measures efficiency of asset deployment. &gt;10% is healthy.</t>
  </si>
  <si>
    <t>12%–25%</t>
  </si>
  <si>
    <t>15%–25%</t>
  </si>
  <si>
    <t>Shareholders expect minimum 15% return in Kenya.</t>
  </si>
  <si>
    <t>12%–22%</t>
  </si>
  <si>
    <t>Capital employed = Total Assets minus Current Liabilities.</t>
  </si>
  <si>
    <t>Key metric for lenders. Below 12% may trigger covenants.</t>
  </si>
  <si>
    <t>55%–75%</t>
  </si>
  <si>
    <t>50%–70%</t>
  </si>
  <si>
    <t>Lower is better. Above 80% indicates structural cost issue.</t>
  </si>
  <si>
    <t>1.2x–2.0x</t>
  </si>
  <si>
    <t>1.5x–2.5x</t>
  </si>
  <si>
    <t>Below 1.0x means inability to meet short-term obligations.</t>
  </si>
  <si>
    <t>0.8x–1.5x</t>
  </si>
  <si>
    <t>1.0x–2.0x</t>
  </si>
  <si>
    <t>Excludes inventory. Below 0.8x is a liquidity warning.</t>
  </si>
  <si>
    <t>0.2x–0.5x</t>
  </si>
  <si>
    <t>0.3x–0.8x</t>
  </si>
  <si>
    <t>Pure cash coverage. Context-dependent by industry.</t>
  </si>
  <si>
    <t>5%–12%</t>
  </si>
  <si>
    <t>PAT/Revenue proxy. Indicates quality of earnings.</t>
  </si>
  <si>
    <t>30–60 days</t>
  </si>
  <si>
    <t>30–50 days</t>
  </si>
  <si>
    <t>Lower is better. &gt;60 days signals collection weakness.</t>
  </si>
  <si>
    <t>Balance between liquidity benefit and supplier relations.</t>
  </si>
  <si>
    <t>45–75 days</t>
  </si>
  <si>
    <t>40–70 days</t>
  </si>
  <si>
    <t>Industry-specific. Lower = faster stock turnover.</t>
  </si>
  <si>
    <t>40–80 days</t>
  </si>
  <si>
    <t>30–70 days</t>
  </si>
  <si>
    <t>Lower is better. Negative CCC is ideal.</t>
  </si>
  <si>
    <t>0.8x–1.8x</t>
  </si>
  <si>
    <t>Higher = more revenue generated per unit of assets.</t>
  </si>
  <si>
    <t>KES 700K–2M</t>
  </si>
  <si>
    <t>KES 800K–3M</t>
  </si>
  <si>
    <t>Productivity benchmark in KES '000. Varies by sector.</t>
  </si>
  <si>
    <t>0.5x–1.5x</t>
  </si>
  <si>
    <t>Above 2.0x raises solvency concerns in Kenya banking context.</t>
  </si>
  <si>
    <t>0.3x–0.6x</t>
  </si>
  <si>
    <t>Above 0.7x is high leverage. Lenders typically cap at 60%.</t>
  </si>
  <si>
    <t>2.5x–5.0x</t>
  </si>
  <si>
    <t>3.0x–6.0x</t>
  </si>
  <si>
    <t>Below 2.0x is a default risk signal for Kenyan banks.</t>
  </si>
  <si>
    <t>N/A</t>
  </si>
  <si>
    <t>Context-specific</t>
  </si>
  <si>
    <t>Negative = net cash position (favourable).</t>
  </si>
  <si>
    <t>1.0x–3.0x</t>
  </si>
  <si>
    <t>1.5x–3.5x</t>
  </si>
  <si>
    <t>Below 2.0x comfortable. Above 4.0x is distress.</t>
  </si>
  <si>
    <t>1.5x–3.0x</t>
  </si>
  <si>
    <t>Higher = more debt financing. DuPont component.</t>
  </si>
  <si>
    <t>In KES. Depends on sector and market expectations.</t>
  </si>
  <si>
    <t>6x–15x</t>
  </si>
  <si>
    <t>8x–20x</t>
  </si>
  <si>
    <t>Kenyan NSE SMEs typically trade at 6x–12x P/E.</t>
  </si>
  <si>
    <t>0.8x–2.5x</t>
  </si>
  <si>
    <t>Below 1.0x may indicate undervaluation.</t>
  </si>
  <si>
    <t>Depends on dividend policy. N/A if no dividend paid.</t>
  </si>
  <si>
    <t>Industry Guide — Manufacturing: higher inventory days (60–90), GP margin 35–50%. Retail: low inventory days (20–45), GP margin 20–35%, asset turnover 2x–4x. Services: minimal inventory, GP margin 50–70%, focus on DSO and Revenue per Employee.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</si>
</sst>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;\(0.00\);\-"/>
  </numFmts>
  <fonts count="21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b/>
      <sz val="10"/>
      <color rgb="FF17375E"/>
      <name val="Arial"/>
      <charset val="1"/>
    </font>
    <font>
      <b/>
      <sz val="11"/>
      <color rgb="FF17375E"/>
      <name val="Arial"/>
      <charset val="1"/>
    </font>
    <font>
      <b/>
      <sz val="10"/>
      <color rgb="FF2E74B5"/>
      <name val="Arial"/>
      <charset val="1"/>
    </font>
    <font>
      <b/>
      <sz val="10"/>
      <color rgb="FF375623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7F4C00"/>
      <name val="Arial"/>
      <charset val="1"/>
    </font>
    <font>
      <b/>
      <sz val="14"/>
      <color rgb="FF17375E"/>
      <name val="Arial"/>
      <charset val="1"/>
    </font>
    <font>
      <b/>
      <sz val="13"/>
      <color rgb="FF375623"/>
      <name val="Arial"/>
      <charset val="1"/>
    </font>
    <font>
      <b/>
      <sz val="9"/>
      <name val="Arial"/>
      <charset val="1"/>
    </font>
    <font>
      <sz val="9"/>
      <color rgb="FF595959"/>
      <name val="Arial"/>
      <charset val="1"/>
    </font>
    <font>
      <sz val="10"/>
      <color rgb="FF17375E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7375E"/>
        <bgColor rgb="FF1A5276"/>
      </patternFill>
    </fill>
    <fill>
      <patternFill patternType="solid">
        <fgColor rgb="FF2E74B5"/>
        <bgColor rgb="FF0066CC"/>
      </patternFill>
    </fill>
    <fill>
      <patternFill patternType="solid">
        <fgColor rgb="FFF2F7FB"/>
        <bgColor rgb="FFF0F8FF"/>
      </patternFill>
    </fill>
    <fill>
      <patternFill patternType="solid">
        <fgColor rgb="FFFFFFFF"/>
        <bgColor rgb="FFFEF9E7"/>
      </patternFill>
    </fill>
    <fill>
      <patternFill patternType="solid">
        <fgColor rgb="FFDEEAF1"/>
        <bgColor rgb="FFD6EAF8"/>
      </patternFill>
    </fill>
    <fill>
      <patternFill patternType="solid">
        <fgColor rgb="FF9DC3E6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D6EAF8"/>
        <bgColor rgb="FFDEEAF1"/>
      </patternFill>
    </fill>
    <fill>
      <patternFill patternType="solid">
        <fgColor rgb="FFFEF9E7"/>
        <bgColor rgb="FFFFFFFF"/>
      </patternFill>
    </fill>
    <fill>
      <patternFill patternType="solid">
        <fgColor rgb="FFF4ECF7"/>
        <bgColor rgb="FFFFEAEA"/>
      </patternFill>
    </fill>
    <fill>
      <patternFill patternType="solid">
        <fgColor rgb="FFFFF2CC"/>
        <bgColor rgb="FFFEF9E7"/>
      </patternFill>
    </fill>
    <fill>
      <patternFill patternType="solid">
        <fgColor rgb="FFF0F8FF"/>
        <bgColor rgb="FFF2F7FB"/>
      </patternFill>
    </fill>
  </fills>
  <borders count="3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9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164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165" fontId="4" fillId="9" borderId="2" xfId="0" applyNumberFormat="1" applyFont="1" applyFill="1" applyBorder="1" applyAlignment="1">
      <alignment horizontal="right" vertical="center"/>
    </xf>
    <xf numFmtId="0" fontId="14" fillId="9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5" fontId="4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166" fontId="4" fillId="10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left" vertical="center"/>
    </xf>
    <xf numFmtId="1" fontId="4" fillId="11" borderId="2" xfId="0" applyNumberFormat="1" applyFont="1" applyFill="1" applyBorder="1" applyAlignment="1">
      <alignment horizontal="right" vertical="center"/>
    </xf>
    <xf numFmtId="0" fontId="14" fillId="11" borderId="2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11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left" vertical="center"/>
    </xf>
    <xf numFmtId="166" fontId="4" fillId="12" borderId="2" xfId="0" applyNumberFormat="1" applyFont="1" applyFill="1" applyBorder="1" applyAlignment="1">
      <alignment horizontal="right" vertical="center"/>
    </xf>
    <xf numFmtId="0" fontId="14" fillId="12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2" fontId="4" fillId="4" borderId="2" xfId="0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right" vertical="center"/>
    </xf>
    <xf numFmtId="164" fontId="16" fillId="5" borderId="2" xfId="0" applyNumberFormat="1" applyFont="1" applyFill="1" applyBorder="1" applyAlignment="1">
      <alignment horizontal="right" vertical="center"/>
    </xf>
    <xf numFmtId="0" fontId="17" fillId="5" borderId="2" xfId="0" applyFont="1" applyFill="1" applyBorder="1" applyAlignment="1">
      <alignment horizontal="left" vertical="center"/>
    </xf>
    <xf numFmtId="165" fontId="16" fillId="5" borderId="2" xfId="0" applyNumberFormat="1" applyFont="1" applyFill="1" applyBorder="1" applyAlignment="1">
      <alignment horizontal="right" vertical="center"/>
    </xf>
    <xf numFmtId="166" fontId="16" fillId="5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7" fillId="6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right" vertical="center"/>
    </xf>
    <xf numFmtId="0" fontId="20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sz val="9"/>
        <color rgb="FFC00000"/>
        <name val="Arial"/>
        <charset val="1"/>
      </font>
      <fill>
        <patternFill>
          <bgColor rgb="FFFFEAEA"/>
        </patternFill>
      </fill>
    </dxf>
    <dxf>
      <font>
        <b/>
        <sz val="9"/>
        <color rgb="FF7F4C00"/>
        <name val="Arial"/>
        <charset val="1"/>
      </font>
      <fill>
        <patternFill>
          <bgColor rgb="FFFFF2CC"/>
        </patternFill>
      </fill>
    </dxf>
    <dxf>
      <font>
        <b/>
        <sz val="9"/>
        <color rgb="FF17375E"/>
        <name val="Arial"/>
        <charset val="1"/>
      </font>
      <fill>
        <patternFill>
          <bgColor rgb="FFBDD7E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FEAE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1A5276"/>
        <name val="Arial"/>
        <charset val="1"/>
      </font>
      <fill>
        <patternFill>
          <bgColor rgb="FFD6EAF8"/>
        </patternFill>
      </fill>
    </dxf>
    <dxf>
      <font>
        <b/>
        <sz val="9"/>
        <color rgb="FFC00000"/>
        <name val="Arial"/>
        <charset val="1"/>
      </font>
      <fill>
        <patternFill>
          <bgColor rgb="FFFFEAEA"/>
        </patternFill>
      </fill>
    </dxf>
    <dxf>
      <font>
        <b/>
        <sz val="9"/>
        <color rgb="FF7F4C00"/>
        <name val="Arial"/>
        <charset val="1"/>
      </font>
      <fill>
        <patternFill>
          <bgColor rgb="FFFFF2CC"/>
        </patternFill>
      </fill>
    </dxf>
    <dxf>
      <font>
        <b/>
        <sz val="9"/>
        <color rgb="FF17375E"/>
        <name val="Arial"/>
        <charset val="1"/>
      </font>
      <fill>
        <patternFill>
          <bgColor rgb="FFBDD7E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0F8FF"/>
      <rgbColor rgb="FFFF00FF"/>
      <rgbColor rgb="FF00FFFF"/>
      <rgbColor rgb="FF800000"/>
      <rgbColor rgb="FF008000"/>
      <rgbColor rgb="FF000080"/>
      <rgbColor rgb="FF7F4C00"/>
      <rgbColor rgb="FF800080"/>
      <rgbColor rgb="FF008080"/>
      <rgbColor rgb="FFD9D9D9"/>
      <rgbColor rgb="FF878787"/>
      <rgbColor rgb="FF9999FF"/>
      <rgbColor rgb="FF993366"/>
      <rgbColor rgb="FFFFF2CC"/>
      <rgbColor rgb="FFD6EAF8"/>
      <rgbColor rgb="FF4B0082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EF9E7"/>
      <rgbColor rgb="FF9DC3E6"/>
      <rgbColor rgb="FFF4ECF7"/>
      <rgbColor rgb="FFF2F7FB"/>
      <rgbColor rgb="FFFFEAEA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33300"/>
      <rgbColor rgb="FF833C00"/>
      <rgbColor rgb="FF993366"/>
      <rgbColor rgb="FF1A527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Profitability Margins: CY vs PY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DASHBOARD!$M$30</c:f>
              <c:strCache>
                <c:ptCount val="1"/>
                <c:pt idx="0">
                  <c:v>CY</c:v>
                </c:pt>
              </c:strCache>
            </c:strRef>
          </c:tx>
          <c:spPr>
            <a:solidFill>
              <a:srgbClr val="2E74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DASHBOARD!$L$31:$L$33</c:f>
              <c:strCache>
                <c:ptCount val="3"/>
                <c:pt idx="0">
                  <c:v>GP Margin</c:v>
                </c:pt>
                <c:pt idx="1">
                  <c:v>EBIT Margin</c:v>
                </c:pt>
                <c:pt idx="2">
                  <c:v>NP Margin</c:v>
                </c:pt>
              </c:strCache>
            </c:strRef>
          </c:cat>
          <c:val>
            <c:numRef>
              <c:f>DASHBOARD!$M$31:$M$33</c:f>
              <c:numCache>
                <c:formatCode>0.0%;\(0.0%\);\-</c:formatCode>
                <c:ptCount val="3"/>
                <c:pt idx="0">
                  <c:v>0.4</c:v>
                </c:pt>
                <c:pt idx="1">
                  <c:v>0.13500000000000001</c:v>
                </c:pt>
                <c:pt idx="2">
                  <c:v>7.9094117647058829E-2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E-4BAC-97BE-9BE03AE6EEEF}"/>
            </c:ext>
          </c:extLst>
        </c:ser>
        <c:ser>
          <c:idx val="1"/>
          <c:order val="1"/>
          <c:tx>
            <c:strRef>
              <c:f>DASHBOARD!$N$30</c:f>
              <c:strCache>
                <c:ptCount val="1"/>
                <c:pt idx="0">
                  <c:v>PY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DASHBOARD!$L$31:$L$33</c:f>
              <c:strCache>
                <c:ptCount val="3"/>
                <c:pt idx="0">
                  <c:v>GP Margin</c:v>
                </c:pt>
                <c:pt idx="1">
                  <c:v>EBIT Margin</c:v>
                </c:pt>
                <c:pt idx="2">
                  <c:v>NP Margin</c:v>
                </c:pt>
              </c:strCache>
            </c:strRef>
          </c:cat>
          <c:val>
            <c:numRef>
              <c:f>DASHBOARD!$N$31:$N$33</c:f>
              <c:numCache>
                <c:formatCode>0.0%;\(0.0%\);\-</c:formatCode>
                <c:ptCount val="3"/>
                <c:pt idx="0">
                  <c:v>0.4</c:v>
                </c:pt>
                <c:pt idx="1">
                  <c:v>0.13500000000000001</c:v>
                </c:pt>
                <c:pt idx="2">
                  <c:v>7.8750000000000001E-2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E-4BAC-97BE-9BE03AE6E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92170"/>
        <c:axId val="69836781"/>
      </c:barChart>
      <c:catAx>
        <c:axId val="23192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69836781"/>
        <c:crosses val="autoZero"/>
        <c:auto val="1"/>
        <c:lblAlgn val="ctr"/>
        <c:lblOffset val="100"/>
        <c:noMultiLvlLbl val="0"/>
      </c:catAx>
      <c:valAx>
        <c:axId val="69836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23192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Liquidity &amp; Leverage: Actual vs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DASHBOARD!$M$35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37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DASHBOARD!$L$36:$L$41</c:f>
              <c:strCache>
                <c:ptCount val="6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D/E Ratio</c:v>
                </c:pt>
                <c:pt idx="4">
                  <c:v>D/A Ratio</c:v>
                </c:pt>
                <c:pt idx="5">
                  <c:v>Int. Coverage</c:v>
                </c:pt>
              </c:strCache>
            </c:strRef>
          </c:cat>
          <c:val>
            <c:numRef>
              <c:f>DASHBOARD!$M$36:$M$41</c:f>
              <c:numCache>
                <c:formatCode>0.00;\(0.00\);\-</c:formatCode>
                <c:ptCount val="6"/>
                <c:pt idx="0">
                  <c:v>1.8155339805825244</c:v>
                </c:pt>
                <c:pt idx="1">
                  <c:v>1.2378640776699028</c:v>
                </c:pt>
                <c:pt idx="2">
                  <c:v>0.41262135922330095</c:v>
                </c:pt>
                <c:pt idx="3">
                  <c:v>0.5524861878453039</c:v>
                </c:pt>
                <c:pt idx="4">
                  <c:v>0.27359781121751026</c:v>
                </c:pt>
                <c:pt idx="5">
                  <c:v>6.1363636363636367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4-4343-B8C0-46B750B34A18}"/>
            </c:ext>
          </c:extLst>
        </c:ser>
        <c:ser>
          <c:idx val="1"/>
          <c:order val="1"/>
          <c:tx>
            <c:strRef>
              <c:f>DASHBOARD!$N$35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DASHBOARD!$L$36:$L$41</c:f>
              <c:strCache>
                <c:ptCount val="6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D/E Ratio</c:v>
                </c:pt>
                <c:pt idx="4">
                  <c:v>D/A Ratio</c:v>
                </c:pt>
                <c:pt idx="5">
                  <c:v>Int. Coverage</c:v>
                </c:pt>
              </c:strCache>
            </c:strRef>
          </c:cat>
          <c:val>
            <c:numRef>
              <c:f>DASHBOARD!$N$36:$N$41</c:f>
              <c:numCache>
                <c:formatCode>0.00;\(0.00\);\-</c:formatCode>
                <c:ptCount val="6"/>
                <c:pt idx="0">
                  <c:v>1.5</c:v>
                </c:pt>
                <c:pt idx="1">
                  <c:v>1</c:v>
                </c:pt>
                <c:pt idx="2">
                  <c:v>0.3</c:v>
                </c:pt>
                <c:pt idx="3">
                  <c:v>1</c:v>
                </c:pt>
                <c:pt idx="4">
                  <c:v>0.5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4-4343-B8C0-46B750B34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51331"/>
        <c:axId val="69246155"/>
      </c:barChart>
      <c:catAx>
        <c:axId val="487513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69246155"/>
        <c:crosses val="autoZero"/>
        <c:auto val="1"/>
        <c:lblAlgn val="ctr"/>
        <c:lblOffset val="100"/>
        <c:noMultiLvlLbl val="0"/>
      </c:catAx>
      <c:valAx>
        <c:axId val="692461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KE"/>
          </a:p>
        </c:txPr>
        <c:crossAx val="48751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K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18</xdr:row>
      <xdr:rowOff>76200</xdr:rowOff>
    </xdr:from>
    <xdr:to>
      <xdr:col>5</xdr:col>
      <xdr:colOff>1149345</xdr:colOff>
      <xdr:row>38</xdr:row>
      <xdr:rowOff>168720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200025</xdr:colOff>
      <xdr:row>19</xdr:row>
      <xdr:rowOff>38100</xdr:rowOff>
    </xdr:from>
    <xdr:to>
      <xdr:col>25</xdr:col>
      <xdr:colOff>425610</xdr:colOff>
      <xdr:row>39</xdr:row>
      <xdr:rowOff>130620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75E"/>
  </sheetPr>
  <dimension ref="B2:C34"/>
  <sheetViews>
    <sheetView showGridLines="0" zoomScaleNormal="100" workbookViewId="0">
      <selection activeCell="F30" sqref="F30"/>
    </sheetView>
  </sheetViews>
  <sheetFormatPr defaultColWidth="8.7109375" defaultRowHeight="15" x14ac:dyDescent="0.25"/>
  <cols>
    <col min="1" max="1" width="4" customWidth="1"/>
    <col min="2" max="2" width="32" customWidth="1"/>
    <col min="3" max="3" width="58" customWidth="1"/>
  </cols>
  <sheetData>
    <row r="2" spans="2:3" ht="19.5" x14ac:dyDescent="0.25">
      <c r="B2" s="14" t="s">
        <v>0</v>
      </c>
      <c r="C2" s="14"/>
    </row>
    <row r="3" spans="2:3" x14ac:dyDescent="0.25">
      <c r="B3" s="13" t="s">
        <v>1</v>
      </c>
      <c r="C3" s="13"/>
    </row>
    <row r="5" spans="2:3" x14ac:dyDescent="0.25">
      <c r="B5" s="12" t="s">
        <v>2</v>
      </c>
      <c r="C5" s="12"/>
    </row>
    <row r="6" spans="2:3" ht="78.75" customHeight="1" x14ac:dyDescent="0.25">
      <c r="B6" s="11" t="s">
        <v>3</v>
      </c>
      <c r="C6" s="11"/>
    </row>
    <row r="8" spans="2:3" x14ac:dyDescent="0.25">
      <c r="B8" s="12" t="s">
        <v>4</v>
      </c>
      <c r="C8" s="12"/>
    </row>
    <row r="9" spans="2:3" x14ac:dyDescent="0.25">
      <c r="B9" s="15" t="s">
        <v>5</v>
      </c>
      <c r="C9" s="16" t="s">
        <v>6</v>
      </c>
    </row>
    <row r="10" spans="2:3" ht="25.5" x14ac:dyDescent="0.25">
      <c r="B10" s="17" t="s">
        <v>7</v>
      </c>
      <c r="C10" s="18" t="s">
        <v>8</v>
      </c>
    </row>
    <row r="11" spans="2:3" ht="25.5" x14ac:dyDescent="0.25">
      <c r="B11" s="15" t="s">
        <v>9</v>
      </c>
      <c r="C11" s="16" t="s">
        <v>10</v>
      </c>
    </row>
    <row r="12" spans="2:3" ht="25.5" x14ac:dyDescent="0.25">
      <c r="B12" s="17" t="s">
        <v>11</v>
      </c>
      <c r="C12" s="18" t="s">
        <v>12</v>
      </c>
    </row>
    <row r="13" spans="2:3" ht="25.5" x14ac:dyDescent="0.25">
      <c r="B13" s="15" t="s">
        <v>13</v>
      </c>
      <c r="C13" s="16" t="s">
        <v>14</v>
      </c>
    </row>
    <row r="15" spans="2:3" x14ac:dyDescent="0.25">
      <c r="B15" s="12" t="s">
        <v>15</v>
      </c>
      <c r="C15" s="12"/>
    </row>
    <row r="16" spans="2:3" x14ac:dyDescent="0.25">
      <c r="B16" s="15" t="s">
        <v>16</v>
      </c>
      <c r="C16" s="16" t="s">
        <v>17</v>
      </c>
    </row>
    <row r="17" spans="2:3" ht="25.5" x14ac:dyDescent="0.25">
      <c r="B17" s="17" t="s">
        <v>18</v>
      </c>
      <c r="C17" s="18" t="s">
        <v>19</v>
      </c>
    </row>
    <row r="18" spans="2:3" ht="25.5" x14ac:dyDescent="0.25">
      <c r="B18" s="15" t="s">
        <v>20</v>
      </c>
      <c r="C18" s="16" t="s">
        <v>21</v>
      </c>
    </row>
    <row r="19" spans="2:3" ht="25.5" x14ac:dyDescent="0.25">
      <c r="B19" s="17" t="s">
        <v>22</v>
      </c>
      <c r="C19" s="18" t="s">
        <v>23</v>
      </c>
    </row>
    <row r="20" spans="2:3" x14ac:dyDescent="0.25">
      <c r="B20" s="15" t="s">
        <v>24</v>
      </c>
      <c r="C20" s="16" t="s">
        <v>25</v>
      </c>
    </row>
    <row r="21" spans="2:3" x14ac:dyDescent="0.25">
      <c r="B21" s="17" t="s">
        <v>26</v>
      </c>
      <c r="C21" s="18" t="s">
        <v>27</v>
      </c>
    </row>
    <row r="22" spans="2:3" ht="25.5" x14ac:dyDescent="0.25">
      <c r="B22" s="15" t="s">
        <v>28</v>
      </c>
      <c r="C22" s="16" t="s">
        <v>29</v>
      </c>
    </row>
    <row r="23" spans="2:3" x14ac:dyDescent="0.25">
      <c r="B23" s="17" t="s">
        <v>30</v>
      </c>
      <c r="C23" s="18" t="s">
        <v>31</v>
      </c>
    </row>
    <row r="25" spans="2:3" x14ac:dyDescent="0.25">
      <c r="B25" s="12" t="s">
        <v>32</v>
      </c>
      <c r="C25" s="12"/>
    </row>
    <row r="26" spans="2:3" x14ac:dyDescent="0.25">
      <c r="B26" s="15" t="s">
        <v>33</v>
      </c>
      <c r="C26" s="16" t="s">
        <v>34</v>
      </c>
    </row>
    <row r="27" spans="2:3" x14ac:dyDescent="0.25">
      <c r="B27" s="17" t="s">
        <v>35</v>
      </c>
      <c r="C27" s="18" t="s">
        <v>36</v>
      </c>
    </row>
    <row r="28" spans="2:3" x14ac:dyDescent="0.25">
      <c r="B28" s="15" t="s">
        <v>37</v>
      </c>
      <c r="C28" s="16" t="s">
        <v>38</v>
      </c>
    </row>
    <row r="29" spans="2:3" x14ac:dyDescent="0.25">
      <c r="B29" s="17" t="s">
        <v>39</v>
      </c>
      <c r="C29" s="18" t="s">
        <v>40</v>
      </c>
    </row>
    <row r="30" spans="2:3" x14ac:dyDescent="0.25">
      <c r="B30" s="15" t="s">
        <v>41</v>
      </c>
      <c r="C30" s="16" t="s">
        <v>42</v>
      </c>
    </row>
    <row r="31" spans="2:3" x14ac:dyDescent="0.25">
      <c r="B31" s="17" t="s">
        <v>43</v>
      </c>
      <c r="C31" s="18" t="s">
        <v>44</v>
      </c>
    </row>
    <row r="33" spans="2:3" x14ac:dyDescent="0.25">
      <c r="B33" s="12" t="s">
        <v>45</v>
      </c>
      <c r="C33" s="12"/>
    </row>
    <row r="34" spans="2:3" ht="84" customHeight="1" x14ac:dyDescent="0.25">
      <c r="B34" s="11" t="s">
        <v>46</v>
      </c>
      <c r="C34" s="11"/>
    </row>
  </sheetData>
  <mergeCells count="9">
    <mergeCell ref="B15:C15"/>
    <mergeCell ref="B25:C25"/>
    <mergeCell ref="B33:C33"/>
    <mergeCell ref="B34:C34"/>
    <mergeCell ref="B2:C2"/>
    <mergeCell ref="B3:C3"/>
    <mergeCell ref="B5:C5"/>
    <mergeCell ref="B6:C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A2:D69"/>
  <sheetViews>
    <sheetView showGridLines="0" zoomScaleNormal="100" workbookViewId="0">
      <pane xSplit="1" ySplit="10" topLeftCell="B23" activePane="bottomRight" state="frozen"/>
      <selection pane="topRight" activeCell="B1" sqref="B1"/>
      <selection pane="bottomLeft" activeCell="A11" sqref="A11"/>
      <selection pane="bottomRight" activeCell="H17" sqref="H17"/>
    </sheetView>
  </sheetViews>
  <sheetFormatPr defaultColWidth="8.7109375" defaultRowHeight="15" x14ac:dyDescent="0.25"/>
  <cols>
    <col min="1" max="1" width="40" customWidth="1"/>
    <col min="2" max="2" width="26" customWidth="1"/>
    <col min="3" max="3" width="26.140625" customWidth="1"/>
    <col min="4" max="4" width="42" customWidth="1"/>
  </cols>
  <sheetData>
    <row r="2" spans="1:4" ht="33.75" customHeight="1" x14ac:dyDescent="0.25">
      <c r="A2" s="10" t="s">
        <v>47</v>
      </c>
      <c r="B2" s="10"/>
      <c r="C2" s="10"/>
      <c r="D2" s="10"/>
    </row>
    <row r="3" spans="1:4" ht="18" customHeight="1" x14ac:dyDescent="0.25">
      <c r="A3" s="13" t="s">
        <v>48</v>
      </c>
      <c r="B3" s="13"/>
      <c r="C3" s="13"/>
      <c r="D3" s="13"/>
    </row>
    <row r="5" spans="1:4" ht="19.5" customHeight="1" x14ac:dyDescent="0.25">
      <c r="A5" s="15" t="s">
        <v>49</v>
      </c>
      <c r="B5" s="19" t="s">
        <v>50</v>
      </c>
      <c r="C5" s="20"/>
      <c r="D5" s="21" t="s">
        <v>51</v>
      </c>
    </row>
    <row r="6" spans="1:4" ht="18" customHeight="1" x14ac:dyDescent="0.25">
      <c r="A6" s="15" t="s">
        <v>52</v>
      </c>
      <c r="B6" s="19" t="s">
        <v>53</v>
      </c>
      <c r="C6" s="19" t="s">
        <v>54</v>
      </c>
      <c r="D6" s="21" t="s">
        <v>55</v>
      </c>
    </row>
    <row r="7" spans="1:4" ht="18" customHeight="1" x14ac:dyDescent="0.25">
      <c r="A7" s="15" t="s">
        <v>56</v>
      </c>
      <c r="B7" s="22" t="s">
        <v>57</v>
      </c>
      <c r="C7" s="22" t="s">
        <v>57</v>
      </c>
      <c r="D7" s="21" t="s">
        <v>58</v>
      </c>
    </row>
    <row r="9" spans="1:4" ht="19.5" customHeight="1" x14ac:dyDescent="0.25">
      <c r="A9" s="12" t="s">
        <v>59</v>
      </c>
      <c r="B9" s="12"/>
      <c r="C9" s="12"/>
      <c r="D9" s="12"/>
    </row>
    <row r="10" spans="1:4" ht="18" customHeight="1" x14ac:dyDescent="0.25">
      <c r="A10" s="23" t="s">
        <v>60</v>
      </c>
      <c r="B10" s="24" t="s">
        <v>61</v>
      </c>
      <c r="C10" s="24" t="s">
        <v>62</v>
      </c>
      <c r="D10" s="23" t="s">
        <v>63</v>
      </c>
    </row>
    <row r="11" spans="1:4" ht="18" customHeight="1" x14ac:dyDescent="0.25">
      <c r="A11" s="20" t="s">
        <v>64</v>
      </c>
      <c r="B11" s="25">
        <v>85000</v>
      </c>
      <c r="C11" s="25">
        <v>72000</v>
      </c>
      <c r="D11" s="21" t="s">
        <v>65</v>
      </c>
    </row>
    <row r="12" spans="1:4" ht="18" customHeight="1" x14ac:dyDescent="0.25">
      <c r="A12" s="20" t="s">
        <v>66</v>
      </c>
      <c r="B12" s="25">
        <v>51000</v>
      </c>
      <c r="C12" s="25">
        <v>43200</v>
      </c>
      <c r="D12" s="21" t="s">
        <v>67</v>
      </c>
    </row>
    <row r="13" spans="1:4" ht="19.5" customHeight="1" x14ac:dyDescent="0.25">
      <c r="A13" s="26" t="s">
        <v>68</v>
      </c>
      <c r="B13" s="27">
        <f>B11-B12</f>
        <v>34000</v>
      </c>
      <c r="C13" s="27">
        <f>C11-C12</f>
        <v>28800</v>
      </c>
      <c r="D13" s="28" t="s">
        <v>69</v>
      </c>
    </row>
    <row r="15" spans="1:4" ht="15.75" customHeight="1" x14ac:dyDescent="0.25">
      <c r="A15" s="9" t="s">
        <v>70</v>
      </c>
      <c r="B15" s="9"/>
      <c r="C15" s="9"/>
      <c r="D15" s="9"/>
    </row>
    <row r="16" spans="1:4" ht="18" customHeight="1" x14ac:dyDescent="0.25">
      <c r="A16" s="29" t="s">
        <v>71</v>
      </c>
      <c r="B16" s="25">
        <v>12750</v>
      </c>
      <c r="C16" s="25">
        <v>10800</v>
      </c>
      <c r="D16" s="21" t="s">
        <v>72</v>
      </c>
    </row>
    <row r="17" spans="1:4" ht="18" customHeight="1" x14ac:dyDescent="0.25">
      <c r="A17" s="29" t="s">
        <v>73</v>
      </c>
      <c r="B17" s="25">
        <v>2550</v>
      </c>
      <c r="C17" s="25">
        <v>2160</v>
      </c>
      <c r="D17" s="21" t="s">
        <v>74</v>
      </c>
    </row>
    <row r="18" spans="1:4" ht="18" customHeight="1" x14ac:dyDescent="0.25">
      <c r="A18" s="29" t="s">
        <v>75</v>
      </c>
      <c r="B18" s="25">
        <v>1700</v>
      </c>
      <c r="C18" s="25">
        <v>1440</v>
      </c>
      <c r="D18" s="21" t="s">
        <v>76</v>
      </c>
    </row>
    <row r="19" spans="1:4" ht="18" customHeight="1" x14ac:dyDescent="0.25">
      <c r="A19" s="29" t="s">
        <v>77</v>
      </c>
      <c r="B19" s="25">
        <v>2125</v>
      </c>
      <c r="C19" s="25">
        <v>1800</v>
      </c>
      <c r="D19" s="21" t="s">
        <v>78</v>
      </c>
    </row>
    <row r="20" spans="1:4" ht="18" customHeight="1" x14ac:dyDescent="0.25">
      <c r="A20" s="29" t="s">
        <v>79</v>
      </c>
      <c r="B20" s="25">
        <v>3400</v>
      </c>
      <c r="C20" s="25">
        <v>2880</v>
      </c>
      <c r="D20" s="21" t="s">
        <v>80</v>
      </c>
    </row>
    <row r="21" spans="1:4" ht="18" customHeight="1" x14ac:dyDescent="0.25">
      <c r="A21" s="26" t="s">
        <v>81</v>
      </c>
      <c r="B21" s="27">
        <f>SUM(B16:B20)</f>
        <v>22525</v>
      </c>
      <c r="C21" s="27">
        <f>SUM(C16:C20)</f>
        <v>19080</v>
      </c>
      <c r="D21" s="28" t="s">
        <v>82</v>
      </c>
    </row>
    <row r="22" spans="1:4" ht="19.5" customHeight="1" x14ac:dyDescent="0.25">
      <c r="A22" s="26" t="s">
        <v>83</v>
      </c>
      <c r="B22" s="27">
        <f>B13-B21</f>
        <v>11475</v>
      </c>
      <c r="C22" s="27">
        <f>C13-C21</f>
        <v>9720</v>
      </c>
      <c r="D22" s="28" t="s">
        <v>84</v>
      </c>
    </row>
    <row r="23" spans="1:4" ht="18" customHeight="1" x14ac:dyDescent="0.25">
      <c r="A23" s="20" t="s">
        <v>85</v>
      </c>
      <c r="B23" s="25">
        <v>1870</v>
      </c>
      <c r="C23" s="25">
        <v>1620</v>
      </c>
      <c r="D23" s="21" t="s">
        <v>86</v>
      </c>
    </row>
    <row r="24" spans="1:4" ht="19.5" customHeight="1" x14ac:dyDescent="0.25">
      <c r="A24" s="26" t="s">
        <v>87</v>
      </c>
      <c r="B24" s="27">
        <f>B22-B23</f>
        <v>9605</v>
      </c>
      <c r="C24" s="27">
        <f>C22-C23</f>
        <v>8100</v>
      </c>
      <c r="D24" s="28" t="s">
        <v>88</v>
      </c>
    </row>
    <row r="25" spans="1:4" ht="18" customHeight="1" x14ac:dyDescent="0.25">
      <c r="A25" s="20" t="s">
        <v>89</v>
      </c>
      <c r="B25" s="25">
        <v>2882</v>
      </c>
      <c r="C25" s="25">
        <v>2430</v>
      </c>
      <c r="D25" s="21" t="s">
        <v>90</v>
      </c>
    </row>
    <row r="26" spans="1:4" ht="19.5" customHeight="1" x14ac:dyDescent="0.25">
      <c r="A26" s="26" t="s">
        <v>91</v>
      </c>
      <c r="B26" s="27">
        <f>B24-B25</f>
        <v>6723</v>
      </c>
      <c r="C26" s="27">
        <f>C24-C25</f>
        <v>5670</v>
      </c>
      <c r="D26" s="28" t="s">
        <v>92</v>
      </c>
    </row>
    <row r="27" spans="1:4" ht="19.5" customHeight="1" x14ac:dyDescent="0.25">
      <c r="A27" s="26" t="s">
        <v>93</v>
      </c>
      <c r="B27" s="27">
        <f>B22+B19</f>
        <v>13600</v>
      </c>
      <c r="C27" s="27">
        <f>C22+C19</f>
        <v>11520</v>
      </c>
      <c r="D27" s="28" t="s">
        <v>94</v>
      </c>
    </row>
    <row r="29" spans="1:4" ht="19.5" customHeight="1" x14ac:dyDescent="0.25">
      <c r="A29" s="12" t="s">
        <v>95</v>
      </c>
      <c r="B29" s="12"/>
      <c r="C29" s="12"/>
      <c r="D29" s="12"/>
    </row>
    <row r="30" spans="1:4" ht="18" customHeight="1" x14ac:dyDescent="0.25">
      <c r="A30" s="23" t="s">
        <v>60</v>
      </c>
      <c r="B30" s="24" t="s">
        <v>61</v>
      </c>
      <c r="C30" s="24" t="s">
        <v>62</v>
      </c>
      <c r="D30" s="23" t="s">
        <v>63</v>
      </c>
    </row>
    <row r="31" spans="1:4" ht="15.75" customHeight="1" x14ac:dyDescent="0.25">
      <c r="A31" s="9" t="s">
        <v>96</v>
      </c>
      <c r="B31" s="9"/>
      <c r="C31" s="9"/>
      <c r="D31" s="9"/>
    </row>
    <row r="32" spans="1:4" ht="18" customHeight="1" x14ac:dyDescent="0.25">
      <c r="A32" s="29" t="s">
        <v>97</v>
      </c>
      <c r="B32" s="25">
        <v>8500</v>
      </c>
      <c r="C32" s="25">
        <v>6200</v>
      </c>
      <c r="D32" s="21" t="s">
        <v>98</v>
      </c>
    </row>
    <row r="33" spans="1:4" ht="18" customHeight="1" x14ac:dyDescent="0.25">
      <c r="A33" s="29" t="s">
        <v>99</v>
      </c>
      <c r="B33" s="25">
        <v>14200</v>
      </c>
      <c r="C33" s="25">
        <v>12800</v>
      </c>
      <c r="D33" s="21" t="s">
        <v>100</v>
      </c>
    </row>
    <row r="34" spans="1:4" ht="18" customHeight="1" x14ac:dyDescent="0.25">
      <c r="A34" s="29" t="s">
        <v>101</v>
      </c>
      <c r="B34" s="25">
        <v>11900</v>
      </c>
      <c r="C34" s="25">
        <v>10600</v>
      </c>
      <c r="D34" s="21" t="s">
        <v>102</v>
      </c>
    </row>
    <row r="35" spans="1:4" ht="18" customHeight="1" x14ac:dyDescent="0.25">
      <c r="A35" s="29" t="s">
        <v>103</v>
      </c>
      <c r="B35" s="25">
        <v>2800</v>
      </c>
      <c r="C35" s="25">
        <v>2400</v>
      </c>
      <c r="D35" s="21" t="s">
        <v>104</v>
      </c>
    </row>
    <row r="36" spans="1:4" ht="18" customHeight="1" x14ac:dyDescent="0.25">
      <c r="A36" s="26" t="s">
        <v>105</v>
      </c>
      <c r="B36" s="27">
        <f>SUM(B32:B35)</f>
        <v>37400</v>
      </c>
      <c r="C36" s="27">
        <f>SUM(C32:C35)</f>
        <v>32000</v>
      </c>
      <c r="D36" s="30"/>
    </row>
    <row r="37" spans="1:4" ht="15.75" customHeight="1" x14ac:dyDescent="0.25">
      <c r="A37" s="9" t="s">
        <v>106</v>
      </c>
      <c r="B37" s="9"/>
      <c r="C37" s="9"/>
      <c r="D37" s="9"/>
    </row>
    <row r="38" spans="1:4" ht="18" customHeight="1" x14ac:dyDescent="0.25">
      <c r="A38" s="29" t="s">
        <v>107</v>
      </c>
      <c r="B38" s="25">
        <v>32000</v>
      </c>
      <c r="C38" s="25">
        <v>28500</v>
      </c>
      <c r="D38" s="21" t="s">
        <v>108</v>
      </c>
    </row>
    <row r="39" spans="1:4" ht="18" customHeight="1" x14ac:dyDescent="0.25">
      <c r="A39" s="29" t="s">
        <v>109</v>
      </c>
      <c r="B39" s="25">
        <v>1500</v>
      </c>
      <c r="C39" s="25">
        <v>1800</v>
      </c>
      <c r="D39" s="21" t="s">
        <v>110</v>
      </c>
    </row>
    <row r="40" spans="1:4" ht="18" customHeight="1" x14ac:dyDescent="0.25">
      <c r="A40" s="29" t="s">
        <v>111</v>
      </c>
      <c r="B40" s="25">
        <v>2200</v>
      </c>
      <c r="C40" s="25">
        <v>1900</v>
      </c>
      <c r="D40" s="21" t="s">
        <v>112</v>
      </c>
    </row>
    <row r="41" spans="1:4" ht="18" customHeight="1" x14ac:dyDescent="0.25">
      <c r="A41" s="26" t="s">
        <v>113</v>
      </c>
      <c r="B41" s="27">
        <f>SUM(B38:B40)</f>
        <v>35700</v>
      </c>
      <c r="C41" s="27">
        <f>SUM(C38:C40)</f>
        <v>32200</v>
      </c>
      <c r="D41" s="30"/>
    </row>
    <row r="42" spans="1:4" ht="21.75" customHeight="1" x14ac:dyDescent="0.25">
      <c r="A42" s="23" t="s">
        <v>114</v>
      </c>
      <c r="B42" s="31">
        <f>B36+B41</f>
        <v>73100</v>
      </c>
      <c r="C42" s="31">
        <f>C36+C41</f>
        <v>64200</v>
      </c>
      <c r="D42" s="32"/>
    </row>
    <row r="44" spans="1:4" ht="15.75" customHeight="1" x14ac:dyDescent="0.25">
      <c r="A44" s="9" t="s">
        <v>115</v>
      </c>
      <c r="B44" s="9"/>
      <c r="C44" s="9"/>
      <c r="D44" s="9"/>
    </row>
    <row r="45" spans="1:4" ht="18" customHeight="1" x14ac:dyDescent="0.25">
      <c r="A45" s="29" t="s">
        <v>116</v>
      </c>
      <c r="B45" s="25">
        <v>9800</v>
      </c>
      <c r="C45" s="25">
        <v>8200</v>
      </c>
      <c r="D45" s="21" t="s">
        <v>117</v>
      </c>
    </row>
    <row r="46" spans="1:4" ht="18" customHeight="1" x14ac:dyDescent="0.25">
      <c r="A46" s="29" t="s">
        <v>118</v>
      </c>
      <c r="B46" s="25">
        <v>5500</v>
      </c>
      <c r="C46" s="25">
        <v>4800</v>
      </c>
      <c r="D46" s="21" t="s">
        <v>119</v>
      </c>
    </row>
    <row r="47" spans="1:4" ht="18" customHeight="1" x14ac:dyDescent="0.25">
      <c r="A47" s="29" t="s">
        <v>120</v>
      </c>
      <c r="B47" s="25">
        <v>2100</v>
      </c>
      <c r="C47" s="25">
        <v>1800</v>
      </c>
      <c r="D47" s="21" t="s">
        <v>121</v>
      </c>
    </row>
    <row r="48" spans="1:4" ht="18" customHeight="1" x14ac:dyDescent="0.25">
      <c r="A48" s="29" t="s">
        <v>122</v>
      </c>
      <c r="B48" s="25">
        <v>3200</v>
      </c>
      <c r="C48" s="25">
        <v>2900</v>
      </c>
      <c r="D48" s="21" t="s">
        <v>123</v>
      </c>
    </row>
    <row r="49" spans="1:4" ht="18" customHeight="1" x14ac:dyDescent="0.25">
      <c r="A49" s="26" t="s">
        <v>124</v>
      </c>
      <c r="B49" s="27">
        <f>SUM(B45:B48)</f>
        <v>20600</v>
      </c>
      <c r="C49" s="27">
        <f>SUM(C45:C48)</f>
        <v>17700</v>
      </c>
      <c r="D49" s="30"/>
    </row>
    <row r="50" spans="1:4" ht="15.75" customHeight="1" x14ac:dyDescent="0.25">
      <c r="A50" s="9" t="s">
        <v>125</v>
      </c>
      <c r="B50" s="9"/>
      <c r="C50" s="9"/>
      <c r="D50" s="9"/>
    </row>
    <row r="51" spans="1:4" ht="18" customHeight="1" x14ac:dyDescent="0.25">
      <c r="A51" s="29" t="s">
        <v>126</v>
      </c>
      <c r="B51" s="25">
        <v>14500</v>
      </c>
      <c r="C51" s="25">
        <v>16000</v>
      </c>
      <c r="D51" s="21" t="s">
        <v>127</v>
      </c>
    </row>
    <row r="52" spans="1:4" ht="18" customHeight="1" x14ac:dyDescent="0.25">
      <c r="A52" s="29" t="s">
        <v>128</v>
      </c>
      <c r="B52" s="25">
        <v>1800</v>
      </c>
      <c r="C52" s="25">
        <v>1600</v>
      </c>
      <c r="D52" s="21" t="s">
        <v>129</v>
      </c>
    </row>
    <row r="53" spans="1:4" ht="18" customHeight="1" x14ac:dyDescent="0.25">
      <c r="A53" s="26" t="s">
        <v>130</v>
      </c>
      <c r="B53" s="27">
        <f>SUM(B51:B52)</f>
        <v>16300</v>
      </c>
      <c r="C53" s="27">
        <f>SUM(C51:C52)</f>
        <v>17600</v>
      </c>
      <c r="D53" s="30"/>
    </row>
    <row r="55" spans="1:4" ht="15.75" customHeight="1" x14ac:dyDescent="0.25">
      <c r="A55" s="9" t="s">
        <v>131</v>
      </c>
      <c r="B55" s="9"/>
      <c r="C55" s="9"/>
      <c r="D55" s="9"/>
    </row>
    <row r="56" spans="1:4" ht="18" customHeight="1" x14ac:dyDescent="0.25">
      <c r="A56" s="29" t="s">
        <v>132</v>
      </c>
      <c r="B56" s="25">
        <v>10000</v>
      </c>
      <c r="C56" s="25">
        <v>10000</v>
      </c>
      <c r="D56" s="21" t="s">
        <v>133</v>
      </c>
    </row>
    <row r="57" spans="1:4" ht="18" customHeight="1" x14ac:dyDescent="0.25">
      <c r="A57" s="29" t="s">
        <v>134</v>
      </c>
      <c r="B57" s="25">
        <v>24700</v>
      </c>
      <c r="C57" s="25">
        <v>17700</v>
      </c>
      <c r="D57" s="21" t="s">
        <v>135</v>
      </c>
    </row>
    <row r="58" spans="1:4" ht="18" customHeight="1" x14ac:dyDescent="0.25">
      <c r="A58" s="29" t="s">
        <v>136</v>
      </c>
      <c r="B58" s="25">
        <v>1500</v>
      </c>
      <c r="C58" s="25">
        <v>1200</v>
      </c>
      <c r="D58" s="21" t="s">
        <v>137</v>
      </c>
    </row>
    <row r="59" spans="1:4" ht="18" customHeight="1" x14ac:dyDescent="0.25">
      <c r="A59" s="26" t="s">
        <v>138</v>
      </c>
      <c r="B59" s="27">
        <f>SUM(B56:B58)</f>
        <v>36200</v>
      </c>
      <c r="C59" s="27">
        <f>SUM(C56:C58)</f>
        <v>28900</v>
      </c>
      <c r="D59" s="30"/>
    </row>
    <row r="61" spans="1:4" ht="21.75" customHeight="1" x14ac:dyDescent="0.25">
      <c r="A61" s="23" t="s">
        <v>139</v>
      </c>
      <c r="B61" s="31">
        <f>B49+B53+B59</f>
        <v>73100</v>
      </c>
      <c r="C61" s="31">
        <f>C49+C53+C59</f>
        <v>64200</v>
      </c>
      <c r="D61" s="32"/>
    </row>
    <row r="62" spans="1:4" ht="21.75" customHeight="1" x14ac:dyDescent="0.25">
      <c r="A62" s="33" t="s">
        <v>140</v>
      </c>
      <c r="B62" s="34" t="str">
        <f>IF(ABS(B42-B61)&lt;1,"BALANCED  ✓","ERROR ✗  — Assets ≠ L+E")</f>
        <v>BALANCED  ✓</v>
      </c>
      <c r="C62" s="34" t="str">
        <f>IF(ABS(C42-C61)&lt;1,"BALANCED  ✓","ERROR ✗  — Assets ≠ L+E")</f>
        <v>BALANCED  ✓</v>
      </c>
      <c r="D62" s="21" t="s">
        <v>141</v>
      </c>
    </row>
    <row r="64" spans="1:4" ht="19.5" customHeight="1" x14ac:dyDescent="0.25">
      <c r="A64" s="12" t="s">
        <v>142</v>
      </c>
      <c r="B64" s="12"/>
      <c r="C64" s="12"/>
      <c r="D64" s="12"/>
    </row>
    <row r="65" spans="1:4" ht="18" customHeight="1" x14ac:dyDescent="0.25">
      <c r="A65" s="23" t="s">
        <v>60</v>
      </c>
      <c r="B65" s="24" t="s">
        <v>61</v>
      </c>
      <c r="C65" s="24" t="s">
        <v>62</v>
      </c>
      <c r="D65" s="23" t="s">
        <v>63</v>
      </c>
    </row>
    <row r="66" spans="1:4" ht="18" customHeight="1" x14ac:dyDescent="0.25">
      <c r="A66" s="20" t="s">
        <v>143</v>
      </c>
      <c r="B66" s="25">
        <v>1000</v>
      </c>
      <c r="C66" s="25">
        <v>1000</v>
      </c>
      <c r="D66" s="21" t="s">
        <v>144</v>
      </c>
    </row>
    <row r="67" spans="1:4" ht="18" customHeight="1" x14ac:dyDescent="0.25">
      <c r="A67" s="20" t="s">
        <v>145</v>
      </c>
      <c r="B67" s="25">
        <v>45</v>
      </c>
      <c r="C67" s="25">
        <v>38</v>
      </c>
      <c r="D67" s="21" t="s">
        <v>146</v>
      </c>
    </row>
    <row r="68" spans="1:4" ht="18" customHeight="1" x14ac:dyDescent="0.25">
      <c r="A68" s="20" t="s">
        <v>147</v>
      </c>
      <c r="B68" s="25">
        <v>85</v>
      </c>
      <c r="C68" s="25">
        <v>80</v>
      </c>
      <c r="D68" s="21" t="s">
        <v>148</v>
      </c>
    </row>
    <row r="69" spans="1:4" ht="18" customHeight="1" x14ac:dyDescent="0.25">
      <c r="A69" s="20" t="s">
        <v>149</v>
      </c>
      <c r="B69" s="25">
        <v>5750</v>
      </c>
      <c r="C69" s="25">
        <v>4200</v>
      </c>
      <c r="D69" s="21" t="s">
        <v>150</v>
      </c>
    </row>
  </sheetData>
  <mergeCells count="11">
    <mergeCell ref="A64:D64"/>
    <mergeCell ref="A31:D31"/>
    <mergeCell ref="A37:D37"/>
    <mergeCell ref="A44:D44"/>
    <mergeCell ref="A50:D50"/>
    <mergeCell ref="A55:D55"/>
    <mergeCell ref="A2:D2"/>
    <mergeCell ref="A3:D3"/>
    <mergeCell ref="A9:D9"/>
    <mergeCell ref="A15:D15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2:G44"/>
  <sheetViews>
    <sheetView showGridLines="0" zoomScaleNormal="100" workbookViewId="0">
      <pane xSplit="1" ySplit="6" topLeftCell="B11" activePane="bottomRight" state="frozen"/>
      <selection pane="topRight" activeCell="B1" sqref="B1"/>
      <selection pane="bottomLeft" activeCell="A7" sqref="A7"/>
      <selection pane="bottomRight" activeCell="J33" sqref="J33"/>
    </sheetView>
  </sheetViews>
  <sheetFormatPr defaultColWidth="8.7109375" defaultRowHeight="15" x14ac:dyDescent="0.25"/>
  <cols>
    <col min="1" max="1" width="40" customWidth="1"/>
    <col min="2" max="4" width="14" customWidth="1"/>
    <col min="5" max="5" width="13" customWidth="1"/>
    <col min="6" max="6" width="15" customWidth="1"/>
    <col min="7" max="7" width="44" customWidth="1"/>
  </cols>
  <sheetData>
    <row r="2" spans="1:7" ht="33.75" customHeight="1" x14ac:dyDescent="0.25">
      <c r="A2" s="10" t="s">
        <v>151</v>
      </c>
      <c r="B2" s="10"/>
      <c r="C2" s="10"/>
      <c r="D2" s="10"/>
      <c r="E2" s="10"/>
      <c r="F2" s="10"/>
      <c r="G2" s="10"/>
    </row>
    <row r="3" spans="1:7" ht="18" customHeight="1" x14ac:dyDescent="0.25">
      <c r="A3" s="13" t="str">
        <f>IFERROR("Client: "&amp;INPUT!B5&amp;"  |  "&amp;INPUT!B6&amp;" vs "&amp;INPUT!C6,"")</f>
        <v>Client: Savanna Manufacturing Ltd  |  FY 2025 vs FY 2024</v>
      </c>
      <c r="B3" s="13"/>
      <c r="C3" s="13"/>
      <c r="D3" s="13"/>
      <c r="E3" s="13"/>
      <c r="F3" s="13"/>
      <c r="G3" s="13"/>
    </row>
    <row r="5" spans="1:7" ht="18" customHeight="1" x14ac:dyDescent="0.25">
      <c r="A5" s="35" t="s">
        <v>152</v>
      </c>
      <c r="B5" s="36" t="s">
        <v>153</v>
      </c>
      <c r="C5" s="36" t="s">
        <v>154</v>
      </c>
      <c r="D5" s="36" t="s">
        <v>155</v>
      </c>
      <c r="E5" s="36" t="s">
        <v>156</v>
      </c>
      <c r="F5" s="37" t="s">
        <v>157</v>
      </c>
      <c r="G5" s="35" t="s">
        <v>158</v>
      </c>
    </row>
    <row r="7" spans="1:7" ht="19.5" customHeight="1" x14ac:dyDescent="0.25">
      <c r="A7" s="12" t="s">
        <v>159</v>
      </c>
      <c r="B7" s="12"/>
      <c r="C7" s="12"/>
      <c r="D7" s="12"/>
      <c r="E7" s="12"/>
      <c r="F7" s="12"/>
      <c r="G7" s="12"/>
    </row>
    <row r="8" spans="1:7" ht="18" customHeight="1" x14ac:dyDescent="0.25">
      <c r="A8" s="38" t="s">
        <v>160</v>
      </c>
      <c r="B8" s="39">
        <f>IFERROR(INPUT!B13/INPUT!B11,"-")</f>
        <v>0.4</v>
      </c>
      <c r="C8" s="39">
        <f>IFERROR(INPUT!C13/INPUT!C11,"-")</f>
        <v>0.4</v>
      </c>
      <c r="D8" s="39">
        <f t="shared" ref="D8:D15" si="0">IFERROR(B8-C8,"-")</f>
        <v>0</v>
      </c>
      <c r="E8" s="39">
        <f>IFERROR(INDEX(BENCHMARKS!$B$6:$B$60,MATCH("Gross Profit Margin",BENCHMARKS!$A$6:$A$60,0)),"-")</f>
        <v>0.35</v>
      </c>
      <c r="F8" s="40" t="str">
        <f>IFERROR(IF(B8&gt;=0.4,"Strong",IF(B8&gt;=0.25,"Acceptable",IF(B8&gt;=0.15,"Caution","Weak"))),"-")</f>
        <v>Strong</v>
      </c>
      <c r="G8" s="38"/>
    </row>
    <row r="9" spans="1:7" ht="18" customHeight="1" x14ac:dyDescent="0.25">
      <c r="A9" s="41" t="s">
        <v>161</v>
      </c>
      <c r="B9" s="42">
        <f>IFERROR(INPUT!B22/INPUT!B11,"-")</f>
        <v>0.13500000000000001</v>
      </c>
      <c r="C9" s="42">
        <f>IFERROR(INPUT!C22/INPUT!C11,"-")</f>
        <v>0.13500000000000001</v>
      </c>
      <c r="D9" s="42">
        <f t="shared" si="0"/>
        <v>0</v>
      </c>
      <c r="E9" s="42">
        <f>IFERROR(INDEX(BENCHMARKS!$B$6:$B$60,MATCH("Operating (EBIT) Margin",BENCHMARKS!$A$6:$A$60,0)),"-")</f>
        <v>0.12</v>
      </c>
      <c r="F9" s="43" t="str">
        <f>IFERROR(IF(B9&gt;=0.15,"Strong",IF(B9&gt;=0.08,"Acceptable",IF(B9&gt;=0.04,"Caution","Weak"))),"-")</f>
        <v>Acceptable</v>
      </c>
      <c r="G9" s="41"/>
    </row>
    <row r="10" spans="1:7" ht="18" customHeight="1" x14ac:dyDescent="0.25">
      <c r="A10" s="38" t="s">
        <v>162</v>
      </c>
      <c r="B10" s="39">
        <f>IFERROR(INPUT!B26/INPUT!B11,"-")</f>
        <v>7.9094117647058829E-2</v>
      </c>
      <c r="C10" s="39">
        <f>IFERROR(INPUT!C26/INPUT!C11,"-")</f>
        <v>7.8750000000000001E-2</v>
      </c>
      <c r="D10" s="39">
        <f t="shared" si="0"/>
        <v>3.4411764705882808E-4</v>
      </c>
      <c r="E10" s="39">
        <f>IFERROR(INDEX(BENCHMARKS!$B$6:$B$60,MATCH("Net Profit Margin",BENCHMARKS!$A$6:$A$60,0)),"-")</f>
        <v>0.08</v>
      </c>
      <c r="F10" s="40" t="str">
        <f>IFERROR(IF(B10&gt;=0.1,"Strong",IF(B10&gt;=0.05,"Acceptable",IF(B10&gt;=0.02,"Caution","Weak"))),"-")</f>
        <v>Acceptable</v>
      </c>
      <c r="G10" s="38"/>
    </row>
    <row r="11" spans="1:7" ht="18" customHeight="1" x14ac:dyDescent="0.25">
      <c r="A11" s="41" t="s">
        <v>163</v>
      </c>
      <c r="B11" s="42">
        <f>IFERROR(INPUT!B26/INPUT!B42,"-")</f>
        <v>9.1969904240766079E-2</v>
      </c>
      <c r="C11" s="42">
        <f>IFERROR(INPUT!C26/INPUT!C42,"-")</f>
        <v>8.8317757009345799E-2</v>
      </c>
      <c r="D11" s="42">
        <f t="shared" si="0"/>
        <v>3.6521472314202802E-3</v>
      </c>
      <c r="E11" s="42">
        <f>IFERROR(INDEX(BENCHMARKS!$B$6:$B$60,MATCH("Return on Assets (ROA)",BENCHMARKS!$A$6:$A$60,0)),"-")</f>
        <v>0.1</v>
      </c>
      <c r="F11" s="43" t="str">
        <f>IFERROR(IF(B11&gt;=0.15,"Strong",IF(B11&gt;=0.08,"Acceptable",IF(B11&gt;=0.04,"Caution","Weak"))),"-")</f>
        <v>Acceptable</v>
      </c>
      <c r="G11" s="41"/>
    </row>
    <row r="12" spans="1:7" ht="18" customHeight="1" x14ac:dyDescent="0.25">
      <c r="A12" s="38" t="s">
        <v>164</v>
      </c>
      <c r="B12" s="39">
        <f>IFERROR(INPUT!B26/INPUT!B59,"-")</f>
        <v>0.18571823204419891</v>
      </c>
      <c r="C12" s="39">
        <f>IFERROR(INPUT!C26/INPUT!C59,"-")</f>
        <v>0.19619377162629759</v>
      </c>
      <c r="D12" s="39">
        <f t="shared" si="0"/>
        <v>-1.0475539582098681E-2</v>
      </c>
      <c r="E12" s="39">
        <f>IFERROR(INDEX(BENCHMARKS!$B$6:$B$60,MATCH("Return on Equity (ROE)",BENCHMARKS!$A$6:$A$60,0)),"-")</f>
        <v>0.15</v>
      </c>
      <c r="F12" s="40" t="str">
        <f>IFERROR(IF(B12&gt;=0.2,"Strong",IF(B12&gt;=0.12,"Acceptable",IF(B12&gt;=0.06,"Caution","Weak"))),"-")</f>
        <v>Acceptable</v>
      </c>
      <c r="G12" s="38"/>
    </row>
    <row r="13" spans="1:7" ht="18" customHeight="1" x14ac:dyDescent="0.25">
      <c r="A13" s="41" t="s">
        <v>165</v>
      </c>
      <c r="B13" s="42">
        <f>IFERROR(INPUT!B22/(INPUT!B42-INPUT!B49),"-")</f>
        <v>0.21857142857142858</v>
      </c>
      <c r="C13" s="42">
        <f>IFERROR(INPUT!C22/(INPUT!C42-INPUT!C49),"-")</f>
        <v>0.20903225806451614</v>
      </c>
      <c r="D13" s="42">
        <f t="shared" si="0"/>
        <v>9.5391705069124422E-3</v>
      </c>
      <c r="E13" s="42">
        <f>IFERROR(INDEX(BENCHMARKS!$B$6:$B$60,MATCH("Return on Capital Employed (ROCE)",BENCHMARKS!$A$6:$A$60,0)),"-")</f>
        <v>0.12</v>
      </c>
      <c r="F13" s="43" t="str">
        <f>IFERROR(IF(B13&gt;=0.15,"Strong",IF(B13&gt;=0.1,"Acceptable",IF(B13&gt;=0.05,"Caution","Weak"))),"-")</f>
        <v>Strong</v>
      </c>
      <c r="G13" s="41"/>
    </row>
    <row r="14" spans="1:7" ht="18" customHeight="1" x14ac:dyDescent="0.25">
      <c r="A14" s="38" t="s">
        <v>166</v>
      </c>
      <c r="B14" s="39">
        <f>IFERROR(INPUT!B27/INPUT!B11,"-")</f>
        <v>0.16</v>
      </c>
      <c r="C14" s="39">
        <f>IFERROR(INPUT!C27/INPUT!C11,"-")</f>
        <v>0.16</v>
      </c>
      <c r="D14" s="39">
        <f t="shared" si="0"/>
        <v>0</v>
      </c>
      <c r="E14" s="39">
        <f>IFERROR(INDEX(BENCHMARKS!$B$6:$B$60,MATCH("EBITDA Margin",BENCHMARKS!$A$6:$A$60,0)),"-")</f>
        <v>0.18</v>
      </c>
      <c r="F14" s="40" t="str">
        <f>IFERROR(IF(B14&gt;=0.2,"Strong",IF(B14&gt;=0.12,"Acceptable",IF(B14&gt;=0.07,"Caution","Weak"))),"-")</f>
        <v>Acceptable</v>
      </c>
      <c r="G14" s="38"/>
    </row>
    <row r="15" spans="1:7" ht="18" customHeight="1" x14ac:dyDescent="0.25">
      <c r="A15" s="41" t="s">
        <v>167</v>
      </c>
      <c r="B15" s="42">
        <f>IFERROR(INPUT!B21/INPUT!B11,"-")</f>
        <v>0.26500000000000001</v>
      </c>
      <c r="C15" s="42">
        <f>IFERROR(INPUT!C21/INPUT!C11,"-")</f>
        <v>0.26500000000000001</v>
      </c>
      <c r="D15" s="42">
        <f t="shared" si="0"/>
        <v>0</v>
      </c>
      <c r="E15" s="42">
        <f>IFERROR(INDEX(BENCHMARKS!$B$6:$B$60,MATCH("Cost-to-Income Ratio",BENCHMARKS!$A$6:$A$60,0)),"-")</f>
        <v>0.65</v>
      </c>
      <c r="F15" s="43" t="str">
        <f>IFERROR(IF(B15&lt;=0.55,"Strong",IF(B15&lt;=0.7,"Acceptable",IF(B15&lt;=0.8,"Caution","Weak"))),"-")</f>
        <v>Strong</v>
      </c>
      <c r="G15" s="41"/>
    </row>
    <row r="17" spans="1:7" ht="19.5" customHeight="1" x14ac:dyDescent="0.25">
      <c r="A17" s="12" t="s">
        <v>168</v>
      </c>
      <c r="B17" s="12"/>
      <c r="C17" s="12"/>
      <c r="D17" s="12"/>
      <c r="E17" s="12"/>
      <c r="F17" s="12"/>
      <c r="G17" s="12"/>
    </row>
    <row r="18" spans="1:7" ht="18" customHeight="1" x14ac:dyDescent="0.25">
      <c r="A18" s="44" t="s">
        <v>169</v>
      </c>
      <c r="B18" s="45">
        <f>IFERROR(INPUT!B36/INPUT!B49,"-")</f>
        <v>1.8155339805825244</v>
      </c>
      <c r="C18" s="45">
        <f>IFERROR(INPUT!C36/INPUT!C49,"-")</f>
        <v>1.807909604519774</v>
      </c>
      <c r="D18" s="45">
        <f>IFERROR(B18-C18,"-")</f>
        <v>7.6243760627503487E-3</v>
      </c>
      <c r="E18" s="45">
        <f>IFERROR(INDEX(BENCHMARKS!$B$6:$B$60,MATCH("Current Ratio",BENCHMARKS!$A$6:$A$60,0)),"-")</f>
        <v>1.5</v>
      </c>
      <c r="F18" s="46" t="str">
        <f>IFERROR(IF(B18&gt;=2,"Strong",IF(B18&gt;=1.5,"Acceptable",IF(B18&gt;=1,"Caution","Weak"))),"-")</f>
        <v>Acceptable</v>
      </c>
      <c r="G18" s="44"/>
    </row>
    <row r="19" spans="1:7" ht="18" customHeight="1" x14ac:dyDescent="0.25">
      <c r="A19" s="41" t="s">
        <v>170</v>
      </c>
      <c r="B19" s="47">
        <f>IFERROR((INPUT!B36-INPUT!B34)/INPUT!B49,"-")</f>
        <v>1.2378640776699028</v>
      </c>
      <c r="C19" s="47">
        <f>IFERROR((INPUT!C36-INPUT!C34)/INPUT!C49,"-")</f>
        <v>1.2090395480225988</v>
      </c>
      <c r="D19" s="47">
        <f>IFERROR(B19-C19,"-")</f>
        <v>2.8824529647303976E-2</v>
      </c>
      <c r="E19" s="47">
        <f>IFERROR(INDEX(BENCHMARKS!$B$6:$B$60,MATCH("Quick Ratio (Acid Test)",BENCHMARKS!$A$6:$A$60,0)),"-")</f>
        <v>1</v>
      </c>
      <c r="F19" s="43" t="str">
        <f>IFERROR(IF(B19&gt;=1.5,"Strong",IF(B19&gt;=0.8,"Acceptable",IF(B19&gt;=0.5,"Caution","Weak"))),"-")</f>
        <v>Acceptable</v>
      </c>
      <c r="G19" s="41"/>
    </row>
    <row r="20" spans="1:7" ht="18" customHeight="1" x14ac:dyDescent="0.25">
      <c r="A20" s="44" t="s">
        <v>171</v>
      </c>
      <c r="B20" s="45">
        <f>IFERROR(INPUT!B32/INPUT!B49,"-")</f>
        <v>0.41262135922330095</v>
      </c>
      <c r="C20" s="45">
        <f>IFERROR(INPUT!C32/INPUT!C49,"-")</f>
        <v>0.35028248587570621</v>
      </c>
      <c r="D20" s="45">
        <f>IFERROR(B20-C20,"-")</f>
        <v>6.2338873347594748E-2</v>
      </c>
      <c r="E20" s="45">
        <f>IFERROR(INDEX(BENCHMARKS!$B$6:$B$60,MATCH("Cash Ratio",BENCHMARKS!$A$6:$A$60,0)),"-")</f>
        <v>0.3</v>
      </c>
      <c r="F20" s="46" t="str">
        <f>IFERROR(IF(B20&gt;=0.5,"Strong",IF(B20&gt;=0.2,"Acceptable",IF(B20&gt;=0.1,"Caution","Weak"))),"-")</f>
        <v>Acceptable</v>
      </c>
      <c r="G20" s="44"/>
    </row>
    <row r="21" spans="1:7" ht="18" customHeight="1" x14ac:dyDescent="0.25">
      <c r="A21" s="41" t="s">
        <v>172</v>
      </c>
      <c r="B21" s="42">
        <f>IFERROR(INPUT!B26/INPUT!B11,"-")</f>
        <v>7.9094117647058829E-2</v>
      </c>
      <c r="C21" s="42">
        <f>IFERROR(INPUT!C26/INPUT!C11,"-")</f>
        <v>7.8750000000000001E-2</v>
      </c>
      <c r="D21" s="42">
        <f>IFERROR(B21-C21,"-")</f>
        <v>3.4411764705882808E-4</v>
      </c>
      <c r="E21" s="42">
        <f>IFERROR(INDEX(BENCHMARKS!$B$6:$B$60,MATCH("Operating Cash Conversion",BENCHMARKS!$A$6:$A$60,0)),"-")</f>
        <v>7.0000000000000007E-2</v>
      </c>
      <c r="F21" s="43" t="str">
        <f>IFERROR(IF(B21&gt;=0.1,"Strong",IF(B21&gt;=0.05,"Acceptable",IF(B21&gt;=0.02,"Caution","Weak"))),"-")</f>
        <v>Acceptable</v>
      </c>
      <c r="G21" s="41"/>
    </row>
    <row r="23" spans="1:7" ht="19.5" customHeight="1" x14ac:dyDescent="0.25">
      <c r="A23" s="12" t="s">
        <v>173</v>
      </c>
      <c r="B23" s="12"/>
      <c r="C23" s="12"/>
      <c r="D23" s="12"/>
      <c r="E23" s="12"/>
      <c r="F23" s="12"/>
      <c r="G23" s="12"/>
    </row>
    <row r="24" spans="1:7" ht="18" customHeight="1" x14ac:dyDescent="0.25">
      <c r="A24" s="48" t="s">
        <v>174</v>
      </c>
      <c r="B24" s="49">
        <f>IFERROR(INPUT!B33/INPUT!B11*365,"-")</f>
        <v>60.976470588235294</v>
      </c>
      <c r="C24" s="49">
        <f>IFERROR(INPUT!C33/INPUT!C11*365,"-")</f>
        <v>64.888888888888886</v>
      </c>
      <c r="D24" s="49">
        <f t="shared" ref="D24:D29" si="1">IFERROR(B24-C24,"-")</f>
        <v>-3.9124183006535915</v>
      </c>
      <c r="E24" s="49">
        <f>IFERROR(INDEX(BENCHMARKS!$B$6:$B$60,MATCH("Debtor Days (DSO)",BENCHMARKS!$A$6:$A$60,0)),"-")</f>
        <v>45</v>
      </c>
      <c r="F24" s="50" t="str">
        <f>IFERROR(IF(B24&lt;=30,"Strong",IF(B24&lt;=45,"Acceptable",IF(B24&lt;=60,"Caution","Weak"))),"-")</f>
        <v>Weak</v>
      </c>
      <c r="G24" s="48"/>
    </row>
    <row r="25" spans="1:7" ht="18" customHeight="1" x14ac:dyDescent="0.25">
      <c r="A25" s="41" t="s">
        <v>175</v>
      </c>
      <c r="B25" s="51">
        <f>IFERROR(INPUT!B45/INPUT!B12*365,"-")</f>
        <v>70.137254901960787</v>
      </c>
      <c r="C25" s="51">
        <f>IFERROR(INPUT!C45/INPUT!C12*365,"-")</f>
        <v>69.282407407407405</v>
      </c>
      <c r="D25" s="51">
        <f t="shared" si="1"/>
        <v>0.8548474945533826</v>
      </c>
      <c r="E25" s="51">
        <f>IFERROR(INDEX(BENCHMARKS!$B$6:$B$60,MATCH("Creditor Days (DPO)",BENCHMARKS!$A$6:$A$60,0)),"-")</f>
        <v>45</v>
      </c>
      <c r="F25" s="43" t="str">
        <f>IFERROR(IF(B25&gt;=60,"Strong",IF(B25&gt;=45,"Acceptable",IF(B25&gt;=30,"Caution","Weak"))),"-")</f>
        <v>Strong</v>
      </c>
      <c r="G25" s="41"/>
    </row>
    <row r="26" spans="1:7" ht="18" customHeight="1" x14ac:dyDescent="0.25">
      <c r="A26" s="48" t="s">
        <v>176</v>
      </c>
      <c r="B26" s="49">
        <f>IFERROR(INPUT!B34/INPUT!B12*365,"-")</f>
        <v>85.166666666666671</v>
      </c>
      <c r="C26" s="49">
        <f>IFERROR(INPUT!C34/INPUT!C12*365,"-")</f>
        <v>89.56018518518519</v>
      </c>
      <c r="D26" s="49">
        <f t="shared" si="1"/>
        <v>-4.393518518518519</v>
      </c>
      <c r="E26" s="49">
        <f>IFERROR(INDEX(BENCHMARKS!$B$6:$B$60,MATCH("Inventory Days",BENCHMARKS!$A$6:$A$60,0)),"-")</f>
        <v>60</v>
      </c>
      <c r="F26" s="50" t="str">
        <f>IFERROR(IF(B26&lt;=45,"Strong",IF(B26&lt;=60,"Acceptable",IF(B26&lt;=90,"Caution","Weak"))),"-")</f>
        <v>Caution</v>
      </c>
      <c r="G26" s="48"/>
    </row>
    <row r="27" spans="1:7" ht="18" customHeight="1" x14ac:dyDescent="0.25">
      <c r="A27" s="41" t="s">
        <v>177</v>
      </c>
      <c r="B27" s="51">
        <f>IFERROR(INPUT!B33/INPUT!B11*365+INPUT!B34/INPUT!B12*365-INPUT!B45/INPUT!B12*365,"-")</f>
        <v>76.005882352941185</v>
      </c>
      <c r="C27" s="51">
        <f>IFERROR(INPUT!C33/INPUT!C11*365+INPUT!C34/INPUT!C12*365-INPUT!C45/INPUT!C12*365,"-")</f>
        <v>85.166666666666671</v>
      </c>
      <c r="D27" s="51">
        <f t="shared" si="1"/>
        <v>-9.1607843137254861</v>
      </c>
      <c r="E27" s="51">
        <f>IFERROR(INDEX(BENCHMARKS!$B$6:$B$60,MATCH("Cash Conversion Cycle (CCC)",BENCHMARKS!$A$6:$A$60,0)),"-")</f>
        <v>60</v>
      </c>
      <c r="F27" s="43" t="str">
        <f>IFERROR(IF(B27&lt;=45,"Strong",IF(B27&lt;=70,"Acceptable",IF(B27&lt;=100,"Caution","Weak"))),"-")</f>
        <v>Caution</v>
      </c>
      <c r="G27" s="41"/>
    </row>
    <row r="28" spans="1:7" ht="18" customHeight="1" x14ac:dyDescent="0.25">
      <c r="A28" s="48" t="s">
        <v>178</v>
      </c>
      <c r="B28" s="52">
        <f>IFERROR(INPUT!B11/INPUT!B42,"-")</f>
        <v>1.1627906976744187</v>
      </c>
      <c r="C28" s="52">
        <f>IFERROR(INPUT!C11/INPUT!C42,"-")</f>
        <v>1.1214953271028036</v>
      </c>
      <c r="D28" s="52">
        <f t="shared" si="1"/>
        <v>4.1295370571615031E-2</v>
      </c>
      <c r="E28" s="52">
        <f>IFERROR(INDEX(BENCHMARKS!$B$6:$B$60,MATCH("Asset Turnover",BENCHMARKS!$A$6:$A$60,0)),"-")</f>
        <v>1.2</v>
      </c>
      <c r="F28" s="50" t="str">
        <f>IFERROR(IF(B28&gt;=1.5,"Strong",IF(B28&gt;=0.8,"Acceptable",IF(B28&gt;=0.5,"Caution","Weak"))),"-")</f>
        <v>Acceptable</v>
      </c>
      <c r="G28" s="48"/>
    </row>
    <row r="29" spans="1:7" ht="18" customHeight="1" x14ac:dyDescent="0.25">
      <c r="A29" s="41" t="s">
        <v>179</v>
      </c>
      <c r="B29" s="53">
        <f>IFERROR(INPUT!B11/INPUT!B68,"-")</f>
        <v>1000</v>
      </c>
      <c r="C29" s="53">
        <f>IFERROR(INPUT!C11/INPUT!C68,"-")</f>
        <v>900</v>
      </c>
      <c r="D29" s="53">
        <f t="shared" si="1"/>
        <v>100</v>
      </c>
      <c r="E29" s="53">
        <f>IFERROR(INDEX(BENCHMARKS!$B$6:$B$60,MATCH("Revenue per Employee (KES '000)",BENCHMARKS!$A$6:$A$60,0)),"-")</f>
        <v>1000</v>
      </c>
      <c r="F29" s="43" t="str">
        <f>IFERROR(IF(B29&gt;=1500,"Strong",IF(B29&gt;=800,"Acceptable",IF(B29&gt;=400,"Caution","Weak"))),"-")</f>
        <v>Acceptable</v>
      </c>
      <c r="G29" s="41"/>
    </row>
    <row r="31" spans="1:7" ht="19.5" customHeight="1" x14ac:dyDescent="0.25">
      <c r="A31" s="12" t="s">
        <v>180</v>
      </c>
      <c r="B31" s="12"/>
      <c r="C31" s="12"/>
      <c r="D31" s="12"/>
      <c r="E31" s="12"/>
      <c r="F31" s="12"/>
      <c r="G31" s="12"/>
    </row>
    <row r="32" spans="1:7" ht="18" customHeight="1" x14ac:dyDescent="0.25">
      <c r="A32" s="54" t="s">
        <v>181</v>
      </c>
      <c r="B32" s="55">
        <f>IFERROR((INPUT!B46+INPUT!B51)/INPUT!B59,"-")</f>
        <v>0.5524861878453039</v>
      </c>
      <c r="C32" s="55">
        <f>IFERROR((INPUT!C46+INPUT!C51)/INPUT!C59,"-")</f>
        <v>0.7197231833910035</v>
      </c>
      <c r="D32" s="55">
        <f t="shared" ref="D32:D37" si="2">IFERROR(B32-C32,"-")</f>
        <v>-0.1672369955456996</v>
      </c>
      <c r="E32" s="55">
        <f>IFERROR(INDEX(BENCHMARKS!$B$6:$B$60,MATCH("Debt-to-Equity Ratio",BENCHMARKS!$A$6:$A$60,0)),"-")</f>
        <v>1</v>
      </c>
      <c r="F32" s="56" t="str">
        <f>IFERROR(IF(B32&lt;=0.5,"Strong",IF(B32&lt;=1,"Acceptable",IF(B32&lt;=2,"Caution","Weak"))),"-")</f>
        <v>Acceptable</v>
      </c>
      <c r="G32" s="54"/>
    </row>
    <row r="33" spans="1:7" ht="18" customHeight="1" x14ac:dyDescent="0.25">
      <c r="A33" s="41" t="s">
        <v>182</v>
      </c>
      <c r="B33" s="47">
        <f>IFERROR((INPUT!B46+INPUT!B51)/INPUT!B42,"-")</f>
        <v>0.27359781121751026</v>
      </c>
      <c r="C33" s="47">
        <f>IFERROR((INPUT!C46+INPUT!C51)/INPUT!C42,"-")</f>
        <v>0.32398753894080995</v>
      </c>
      <c r="D33" s="47">
        <f t="shared" si="2"/>
        <v>-5.0389727723299693E-2</v>
      </c>
      <c r="E33" s="47">
        <f>IFERROR(INDEX(BENCHMARKS!$B$6:$B$60,MATCH("Debt-to-Assets Ratio",BENCHMARKS!$A$6:$A$60,0)),"-")</f>
        <v>0.5</v>
      </c>
      <c r="F33" s="43" t="str">
        <f>IFERROR(IF(B33&lt;=0.3,"Strong",IF(B33&lt;=0.5,"Acceptable",IF(B33&lt;=0.7,"Caution","Weak"))),"-")</f>
        <v>Strong</v>
      </c>
      <c r="G33" s="41"/>
    </row>
    <row r="34" spans="1:7" ht="18" customHeight="1" x14ac:dyDescent="0.25">
      <c r="A34" s="54" t="s">
        <v>183</v>
      </c>
      <c r="B34" s="55">
        <f>IFERROR(INPUT!B22/INPUT!B23,"-")</f>
        <v>6.1363636363636367</v>
      </c>
      <c r="C34" s="55">
        <f>IFERROR(INPUT!C22/INPUT!C23,"-")</f>
        <v>6</v>
      </c>
      <c r="D34" s="55">
        <f t="shared" si="2"/>
        <v>0.13636363636363669</v>
      </c>
      <c r="E34" s="55">
        <f>IFERROR(INDEX(BENCHMARKS!$B$6:$B$60,MATCH("Interest Coverage Ratio",BENCHMARKS!$A$6:$A$60,0)),"-")</f>
        <v>3</v>
      </c>
      <c r="F34" s="56" t="str">
        <f>IFERROR(IF(B34&gt;=5,"Strong",IF(B34&gt;=2.5,"Acceptable",IF(B34&gt;=1.5,"Caution","Weak"))),"-")</f>
        <v>Strong</v>
      </c>
      <c r="G34" s="54"/>
    </row>
    <row r="35" spans="1:7" ht="18" customHeight="1" x14ac:dyDescent="0.25">
      <c r="A35" s="41" t="s">
        <v>184</v>
      </c>
      <c r="B35" s="57">
        <f>IFERROR(INPUT!B46+INPUT!B51-INPUT!B32,"-")</f>
        <v>11500</v>
      </c>
      <c r="C35" s="57">
        <f>IFERROR(INPUT!C46+INPUT!C51-INPUT!C32,"-")</f>
        <v>14600</v>
      </c>
      <c r="D35" s="57">
        <f t="shared" si="2"/>
        <v>-3100</v>
      </c>
      <c r="E35" s="57" t="str">
        <f>IFERROR(INDEX(BENCHMARKS!$B$6:$B$60,MATCH("Net Debt (KES '000)",BENCHMARKS!$A$6:$A$60,0)),"-")</f>
        <v>N/A</v>
      </c>
      <c r="F35" s="43" t="str">
        <f>IFERROR(IF(B35&lt;=0,"Net Cash ✓",IF(B35&lt;=15000,"Acceptable","Caution")),"-")</f>
        <v>Acceptable</v>
      </c>
      <c r="G35" s="41"/>
    </row>
    <row r="36" spans="1:7" ht="18" customHeight="1" x14ac:dyDescent="0.25">
      <c r="A36" s="54" t="s">
        <v>185</v>
      </c>
      <c r="B36" s="55">
        <f>IFERROR((INPUT!B46+INPUT!B51-INPUT!B32)/INPUT!B27,"-")</f>
        <v>0.84558823529411764</v>
      </c>
      <c r="C36" s="55">
        <f>IFERROR((INPUT!C46+INPUT!C51-INPUT!C32)/INPUT!C27,"-")</f>
        <v>1.2673611111111112</v>
      </c>
      <c r="D36" s="55">
        <f t="shared" si="2"/>
        <v>-0.42177287581699352</v>
      </c>
      <c r="E36" s="55">
        <f>IFERROR(INDEX(BENCHMARKS!$B$6:$B$60,MATCH("Net Debt to EBITDA",BENCHMARKS!$A$6:$A$60,0)),"-")</f>
        <v>2.5</v>
      </c>
      <c r="F36" s="56" t="str">
        <f>IFERROR(IF(B36&lt;=1.5,"Strong",IF(B36&lt;=3,"Acceptable",IF(B36&lt;=4.5,"Caution","Weak"))),"-")</f>
        <v>Strong</v>
      </c>
      <c r="G36" s="54"/>
    </row>
    <row r="37" spans="1:7" ht="18" customHeight="1" x14ac:dyDescent="0.25">
      <c r="A37" s="41" t="s">
        <v>186</v>
      </c>
      <c r="B37" s="47">
        <f>IFERROR(INPUT!B42/INPUT!B59,"-")</f>
        <v>2.0193370165745854</v>
      </c>
      <c r="C37" s="47">
        <f>IFERROR(INPUT!C42/INPUT!C59,"-")</f>
        <v>2.2214532871972317</v>
      </c>
      <c r="D37" s="47">
        <f t="shared" si="2"/>
        <v>-0.20211627062264625</v>
      </c>
      <c r="E37" s="47">
        <f>IFERROR(INDEX(BENCHMARKS!$B$6:$B$60,MATCH("Equity Multiplier",BENCHMARKS!$A$6:$A$60,0)),"-")</f>
        <v>2</v>
      </c>
      <c r="F37" s="43" t="str">
        <f>IFERROR(IF(B37&lt;=2,"Strong",IF(B37&lt;=3,"Acceptable",IF(B37&lt;=4,"Caution","Weak"))),"-")</f>
        <v>Acceptable</v>
      </c>
      <c r="G37" s="41"/>
    </row>
    <row r="39" spans="1:7" ht="19.5" customHeight="1" x14ac:dyDescent="0.25">
      <c r="A39" s="12" t="s">
        <v>187</v>
      </c>
      <c r="B39" s="12"/>
      <c r="C39" s="12"/>
      <c r="D39" s="12"/>
      <c r="E39" s="12"/>
      <c r="F39" s="12"/>
      <c r="G39" s="12"/>
    </row>
    <row r="40" spans="1:7" ht="18" customHeight="1" x14ac:dyDescent="0.25">
      <c r="A40" s="20" t="s">
        <v>188</v>
      </c>
      <c r="B40" s="58">
        <f>IFERROR(INPUT!B26/INPUT!B66,"-")</f>
        <v>6.7229999999999999</v>
      </c>
      <c r="C40" s="58">
        <f>IFERROR(INPUT!C26/INPUT!C66,"-")</f>
        <v>5.67</v>
      </c>
      <c r="D40" s="58">
        <f>IFERROR(B40-C40,"-")</f>
        <v>1.0529999999999999</v>
      </c>
      <c r="E40" s="58" t="str">
        <f>IFERROR(INDEX(BENCHMARKS!$B$6:$B$60,MATCH("Earnings per Share (EPS)",BENCHMARKS!$A$6:$A$60,0)),"-")</f>
        <v>N/A</v>
      </c>
      <c r="F40" s="59" t="str">
        <f>IFERROR(IF(B40&gt;0,"Profitable","Loss"),"-")</f>
        <v>Profitable</v>
      </c>
      <c r="G40" s="20"/>
    </row>
    <row r="41" spans="1:7" ht="18" customHeight="1" x14ac:dyDescent="0.25">
      <c r="A41" s="41" t="s">
        <v>189</v>
      </c>
      <c r="B41" s="47">
        <f>IFERROR(INPUT!B67*INPUT!B66/INPUT!B26,"-")</f>
        <v>6.6934404283801872</v>
      </c>
      <c r="C41" s="47">
        <f>IFERROR(INPUT!C67*INPUT!C66/INPUT!C26,"-")</f>
        <v>6.7019400352733687</v>
      </c>
      <c r="D41" s="47">
        <f>IFERROR(B41-C41,"-")</f>
        <v>-8.4996068931815216E-3</v>
      </c>
      <c r="E41" s="47">
        <f>IFERROR(INDEX(BENCHMARKS!$B$6:$B$60,MATCH("Price-to-Earnings (P/E)",BENCHMARKS!$A$6:$A$60,0)),"-")</f>
        <v>10</v>
      </c>
      <c r="F41" s="43" t="str">
        <f>IFERROR(IF(B41&lt;=8,"Strong",IF(B41&lt;=15,"Acceptable",IF(B41&lt;=25,"Caution","Weak"))),"-")</f>
        <v>Strong</v>
      </c>
      <c r="G41" s="41"/>
    </row>
    <row r="42" spans="1:7" ht="18" customHeight="1" x14ac:dyDescent="0.25">
      <c r="A42" s="20" t="s">
        <v>190</v>
      </c>
      <c r="B42" s="60">
        <f>IFERROR(INPUT!B67*INPUT!B66/INPUT!B59,"-")</f>
        <v>1.2430939226519337</v>
      </c>
      <c r="C42" s="60">
        <f>IFERROR(INPUT!C67*INPUT!C66/INPUT!C59,"-")</f>
        <v>1.314878892733564</v>
      </c>
      <c r="D42" s="60">
        <f>IFERROR(B42-C42,"-")</f>
        <v>-7.1784970081630206E-2</v>
      </c>
      <c r="E42" s="60">
        <f>IFERROR(INDEX(BENCHMARKS!$B$6:$B$60,MATCH("Price-to-Book (P/B)",BENCHMARKS!$A$6:$A$60,0)),"-")</f>
        <v>1.5</v>
      </c>
      <c r="F42" s="59" t="str">
        <f>IFERROR(IF(B42&gt;=2,"Strong",IF(B42&gt;=1,"Acceptable",IF(B42&gt;=0.5,"Caution","Weak"))),"-")</f>
        <v>Acceptable</v>
      </c>
      <c r="G42" s="20"/>
    </row>
    <row r="43" spans="1:7" ht="18" customHeight="1" x14ac:dyDescent="0.25">
      <c r="A43" s="41" t="s">
        <v>191</v>
      </c>
      <c r="B43" s="42" t="s">
        <v>192</v>
      </c>
      <c r="C43" s="42" t="s">
        <v>192</v>
      </c>
      <c r="D43" s="42" t="str">
        <f>IFERROR(B43-C43,"-")</f>
        <v>-</v>
      </c>
      <c r="E43" s="42" t="str">
        <f>IFERROR(INDEX(BENCHMARKS!$B$6:$B$60,MATCH("Dividend Yield",BENCHMARKS!$A$6:$A$60,0)),"-")</f>
        <v>N/A</v>
      </c>
      <c r="F43" s="43" t="s">
        <v>192</v>
      </c>
      <c r="G43" s="41"/>
    </row>
    <row r="44" spans="1:7" ht="30" customHeight="1" x14ac:dyDescent="0.25">
      <c r="A44" s="8" t="s">
        <v>193</v>
      </c>
      <c r="B44" s="8"/>
      <c r="C44" s="8"/>
      <c r="D44" s="8"/>
      <c r="E44" s="8"/>
      <c r="F44" s="8"/>
      <c r="G44" s="8"/>
    </row>
  </sheetData>
  <mergeCells count="8">
    <mergeCell ref="A31:G31"/>
    <mergeCell ref="A39:G39"/>
    <mergeCell ref="A44:G44"/>
    <mergeCell ref="A2:G2"/>
    <mergeCell ref="A3:G3"/>
    <mergeCell ref="A7:G7"/>
    <mergeCell ref="A17:G17"/>
    <mergeCell ref="A23:G23"/>
  </mergeCells>
  <conditionalFormatting sqref="F8:F44">
    <cfRule type="expression" dxfId="10" priority="2">
      <formula>F8="Strong"</formula>
    </cfRule>
    <cfRule type="expression" dxfId="9" priority="3">
      <formula>F8="Acceptable"</formula>
    </cfRule>
    <cfRule type="expression" dxfId="8" priority="4">
      <formula>F8="Caution"</formula>
    </cfRule>
    <cfRule type="expression" dxfId="7" priority="5">
      <formula>F8="Weak"</formula>
    </cfRule>
    <cfRule type="expression" dxfId="6" priority="6">
      <formula>F8="Net Cash"</formula>
    </cfRule>
    <cfRule type="expression" dxfId="5" priority="7">
      <formula>F8="Profitable"</formula>
    </cfRule>
    <cfRule type="expression" dxfId="4" priority="8">
      <formula>F8="Loss"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</sheetPr>
  <dimension ref="B2:N41"/>
  <sheetViews>
    <sheetView showGridLines="0" tabSelected="1" zoomScaleNormal="100" workbookViewId="0">
      <selection activeCell="N8" sqref="N8"/>
    </sheetView>
  </sheetViews>
  <sheetFormatPr defaultColWidth="8.7109375" defaultRowHeight="15" x14ac:dyDescent="0.25"/>
  <cols>
    <col min="1" max="1" width="3" customWidth="1"/>
    <col min="2" max="2" width="22" customWidth="1"/>
    <col min="3" max="3" width="18" customWidth="1"/>
    <col min="4" max="4" width="3" customWidth="1"/>
    <col min="5" max="5" width="22" customWidth="1"/>
    <col min="6" max="6" width="18" customWidth="1"/>
    <col min="7" max="7" width="3" customWidth="1"/>
    <col min="8" max="8" width="22" customWidth="1"/>
    <col min="9" max="9" width="18" customWidth="1"/>
    <col min="10" max="10" width="3" customWidth="1"/>
  </cols>
  <sheetData>
    <row r="2" spans="2:9" ht="33.75" customHeight="1" x14ac:dyDescent="0.25">
      <c r="B2" s="14" t="s">
        <v>194</v>
      </c>
      <c r="C2" s="14"/>
      <c r="D2" s="14"/>
      <c r="E2" s="14"/>
      <c r="F2" s="14"/>
      <c r="G2" s="14"/>
      <c r="H2" s="14"/>
      <c r="I2" s="14"/>
    </row>
    <row r="3" spans="2:9" ht="18" customHeight="1" x14ac:dyDescent="0.25">
      <c r="B3" s="13" t="str">
        <f>IFERROR("Client: "&amp;INPUT!B5&amp;"  |  "&amp;INPUT!B6&amp;" vs "&amp;INPUT!C6,"")</f>
        <v>Client: Savanna Manufacturing Ltd  |  FY 2025 vs FY 2024</v>
      </c>
      <c r="C3" s="13"/>
      <c r="D3" s="13"/>
      <c r="E3" s="13"/>
      <c r="F3" s="13"/>
      <c r="G3" s="13"/>
      <c r="H3" s="13"/>
      <c r="I3" s="13"/>
    </row>
    <row r="5" spans="2:9" ht="19.5" customHeight="1" x14ac:dyDescent="0.25">
      <c r="B5" s="12" t="s">
        <v>195</v>
      </c>
      <c r="C5" s="12"/>
      <c r="D5" s="12"/>
      <c r="E5" s="12"/>
      <c r="F5" s="12"/>
      <c r="G5" s="12"/>
      <c r="H5" s="12"/>
      <c r="I5" s="12"/>
    </row>
    <row r="6" spans="2:9" ht="18" customHeight="1" x14ac:dyDescent="0.25">
      <c r="B6" s="7" t="s">
        <v>196</v>
      </c>
      <c r="C6" s="7"/>
      <c r="E6" s="7" t="s">
        <v>160</v>
      </c>
      <c r="F6" s="7"/>
      <c r="H6" s="7" t="s">
        <v>162</v>
      </c>
      <c r="I6" s="7"/>
    </row>
    <row r="7" spans="2:9" ht="24" customHeight="1" x14ac:dyDescent="0.25">
      <c r="B7" s="61">
        <f>IFERROR(INPUT!B11,"-")</f>
        <v>85000</v>
      </c>
      <c r="C7" s="62" t="str">
        <f>IFERROR(IF(INPUT!B11&gt;INPUT!C11," ▲"," ▼")," ")</f>
        <v xml:space="preserve"> ▲</v>
      </c>
      <c r="E7" s="63">
        <f>IFERROR(RATIOS!B8,"-")</f>
        <v>0.4</v>
      </c>
      <c r="F7" s="62" t="str">
        <f>IFERROR(IF(RATIOS!B8&gt;RATIOS!C8," ▲"," ▼")," ")</f>
        <v xml:space="preserve"> ▼</v>
      </c>
      <c r="H7" s="63">
        <f>IFERROR(RATIOS!B10,"-")</f>
        <v>7.9094117647058829E-2</v>
      </c>
      <c r="I7" s="62" t="str">
        <f>IFERROR(IF(RATIOS!B10&gt;RATIOS!C10," ▲"," ▼")," ")</f>
        <v xml:space="preserve"> ▲</v>
      </c>
    </row>
    <row r="9" spans="2:9" ht="18" customHeight="1" x14ac:dyDescent="0.25">
      <c r="B9" s="7" t="s">
        <v>169</v>
      </c>
      <c r="C9" s="7"/>
      <c r="E9" s="7" t="s">
        <v>164</v>
      </c>
      <c r="F9" s="7"/>
      <c r="H9" s="7" t="s">
        <v>197</v>
      </c>
      <c r="I9" s="7"/>
    </row>
    <row r="10" spans="2:9" ht="24" customHeight="1" x14ac:dyDescent="0.25">
      <c r="B10" s="64">
        <f>IFERROR(RATIOS!B18,"-")</f>
        <v>1.8155339805825244</v>
      </c>
      <c r="C10" s="62" t="str">
        <f>IFERROR(IF(RATIOS!B18&gt;RATIOS!C18," ▲"," ▼")," ")</f>
        <v xml:space="preserve"> ▲</v>
      </c>
      <c r="E10" s="63">
        <f>IFERROR(RATIOS!B12,"-")</f>
        <v>0.18571823204419891</v>
      </c>
      <c r="F10" s="62" t="str">
        <f>IFERROR(IF(RATIOS!B12&gt;RATIOS!C12," ▲"," ▼")," ")</f>
        <v xml:space="preserve"> ▼</v>
      </c>
      <c r="H10" s="64">
        <f>IFERROR(RATIOS!B34,"-")</f>
        <v>6.1363636363636367</v>
      </c>
      <c r="I10" s="62" t="str">
        <f>IFERROR(IF(RATIOS!B34&gt;RATIOS!C34," ▲"," ▼")," ")</f>
        <v xml:space="preserve"> ▲</v>
      </c>
    </row>
    <row r="12" spans="2:9" ht="19.5" customHeight="1" x14ac:dyDescent="0.25">
      <c r="B12" s="12" t="s">
        <v>198</v>
      </c>
      <c r="C12" s="12"/>
      <c r="D12" s="12"/>
      <c r="E12" s="12"/>
      <c r="F12" s="12"/>
      <c r="G12" s="12"/>
      <c r="H12" s="12"/>
      <c r="I12" s="12"/>
    </row>
    <row r="13" spans="2:9" ht="18" customHeight="1" x14ac:dyDescent="0.25">
      <c r="B13" s="6" t="s">
        <v>199</v>
      </c>
      <c r="C13" s="6"/>
      <c r="D13" s="6"/>
      <c r="E13" s="65" t="s">
        <v>200</v>
      </c>
      <c r="F13" s="6" t="s">
        <v>201</v>
      </c>
      <c r="G13" s="6"/>
      <c r="H13" s="6"/>
      <c r="I13" s="6"/>
    </row>
    <row r="14" spans="2:9" ht="21.75" customHeight="1" x14ac:dyDescent="0.25">
      <c r="B14" s="5" t="s">
        <v>159</v>
      </c>
      <c r="C14" s="5"/>
      <c r="D14" s="5"/>
      <c r="E14" s="66" t="str">
        <f>IFERROR(IF(RATIOS!F8="Strong","STRONG",IF(RATIOS!F8="Acceptable","ACCEPTABLE",IF(RATIOS!F8="Caution","CAUTION","REVIEW"))),"N/A")</f>
        <v>STRONG</v>
      </c>
      <c r="F14" s="4" t="str">
        <f>IFERROR(IF(AND(RATIOS!B8&gt;=0.3,RATIOS!B10&gt;=0.05),"Strong profitability. GP margin "&amp;TEXT(RATIOS!B8,"0.0%")&amp;" and NP margin "&amp;TEXT(RATIOS!B10,"0.0%")&amp;".",IF(RATIOS!B8&gt;=0.2,"Profitability is moderate. GP margin "&amp;TEXT(RATIOS!B8,"0.0%")&amp;". Review overhead structure.","Profitability under pressure. GP margin "&amp;TEXT(RATIOS!B8,"0.0%")&amp;". Urgent cost review required.")),"-")</f>
        <v>Strong profitability. GP margin 40.0% and NP margin 7.9%.</v>
      </c>
      <c r="G14" s="4"/>
      <c r="H14" s="4"/>
      <c r="I14" s="4"/>
    </row>
    <row r="15" spans="2:9" ht="21.75" customHeight="1" x14ac:dyDescent="0.25">
      <c r="B15" s="3" t="s">
        <v>168</v>
      </c>
      <c r="C15" s="3"/>
      <c r="D15" s="3"/>
      <c r="E15" s="66" t="str">
        <f>IFERROR(IF(RATIOS!F18="Strong","STRONG",IF(RATIOS!F18="Acceptable","ACCEPTABLE",IF(RATIOS!F18="Caution","CAUTION","REVIEW"))),"N/A")</f>
        <v>ACCEPTABLE</v>
      </c>
      <c r="F15" s="2" t="str">
        <f>IFERROR(IF(RATIOS!B18&gt;=1.5,"Liquidity position is healthy. Current ratio "&amp;TEXT(RATIOS!B18,"0.00")&amp;"x, above 1.5x benchmark.",IF(RATIOS!B18&gt;=1,"Liquidity is adequate but below target. Monitor cash flow closely. Current ratio "&amp;TEXT(RATIOS!B18,"0.00")&amp;"x.","Liquidity risk — current ratio "&amp;TEXT(RATIOS!B18,"0.00")&amp;"x below 1.0x. Immediate working capital review needed.")),"-")</f>
        <v>Liquidity position is healthy. Current ratio 1.82x, above 1.5x benchmark.</v>
      </c>
      <c r="G15" s="2"/>
      <c r="H15" s="2"/>
      <c r="I15" s="2"/>
    </row>
    <row r="16" spans="2:9" ht="21.75" customHeight="1" x14ac:dyDescent="0.25">
      <c r="B16" s="5" t="s">
        <v>173</v>
      </c>
      <c r="C16" s="5"/>
      <c r="D16" s="5"/>
      <c r="E16" s="66" t="str">
        <f>IFERROR(IF(RATIOS!F24="Strong","STRONG",IF(RATIOS!F24="Acceptable","ACCEPTABLE",IF(RATIOS!F24="Caution","CAUTION","REVIEW"))),"N/A")</f>
        <v>REVIEW</v>
      </c>
      <c r="F16" s="4" t="str">
        <f>IFERROR(IF(RATIOS!B27&lt;=60,"Working capital efficiency is strong. CCC "&amp;TEXT(RATIOS!B27,"0")&amp;" days.",IF(RATIOS!B27&lt;=90,"Working capital cycle "&amp;TEXT(RATIOS!B27,"0")&amp;" days — review debtor collections and inventory.","Cash conversion cycle of "&amp;TEXT(RATIOS!B27,"0")&amp;" days is extended. Tighten credit terms and stock management.")),"-")</f>
        <v>Working capital cycle 76 days — review debtor collections and inventory.</v>
      </c>
      <c r="G16" s="4"/>
      <c r="H16" s="4"/>
      <c r="I16" s="4"/>
    </row>
    <row r="17" spans="2:14" ht="21.75" customHeight="1" x14ac:dyDescent="0.25">
      <c r="B17" s="3" t="s">
        <v>180</v>
      </c>
      <c r="C17" s="3"/>
      <c r="D17" s="3"/>
      <c r="E17" s="66" t="str">
        <f>IFERROR(IF(RATIOS!F34="Strong","STRONG",IF(RATIOS!F34="Acceptable","ACCEPTABLE",IF(RATIOS!F34="Caution","CAUTION","REVIEW"))),"N/A")</f>
        <v>STRONG</v>
      </c>
      <c r="F17" s="2" t="str">
        <f>IFERROR(IF(RATIOS!B34&gt;=3,"Leverage is manageable. Interest coverage "&amp;TEXT(RATIOS!B34,"0.0")&amp;"x — comfortable above 3x threshold.",IF(RATIOS!B34&gt;=1.5,"Interest coverage "&amp;TEXT(RATIOS!B34,"0.0")&amp;"x — within acceptable range but approaching minimum.","Interest coverage "&amp;TEXT(RATIOS!B34,"0.0")&amp;"x — below 1.5x. Debt servicing risk is elevated.")),"-")</f>
        <v>Leverage is manageable. Interest coverage 6.1x — comfortable above 3x threshold.</v>
      </c>
      <c r="G17" s="2"/>
      <c r="H17" s="2"/>
      <c r="I17" s="2"/>
    </row>
    <row r="18" spans="2:14" ht="21.75" customHeight="1" x14ac:dyDescent="0.25">
      <c r="B18" s="5" t="s">
        <v>187</v>
      </c>
      <c r="C18" s="5"/>
      <c r="D18" s="5"/>
      <c r="E18" s="66" t="str">
        <f>IFERROR(IF(RATIOS!F40="Strong","STRONG",IF(RATIOS!F40="Acceptable","ACCEPTABLE",IF(RATIOS!F40="Caution","CAUTION","REVIEW"))),"N/A")</f>
        <v>REVIEW</v>
      </c>
      <c r="F18" s="4" t="str">
        <f>IFERROR(IF(RATIOS!B40&lt;=0,"Company is loss-making. Valuation metrics not meaningful.",IF(RATIOS!B41&lt;=15,"P/E of "&amp;TEXT(RATIOS!B41,"0.0")&amp;"x and EPS of KES "&amp;TEXT(RATIOS!B40,"0.00")&amp;" per share — valuation appears reasonable.","P/E of "&amp;TEXT(RATIOS!B41,"0.0")&amp;"x — premium to sector norms. Confirm earnings quality.")),"-")</f>
        <v>P/E of 6.7x and EPS of KES 6.72 per share — valuation appears reasonable.</v>
      </c>
      <c r="G18" s="4"/>
      <c r="H18" s="4"/>
      <c r="I18" s="4"/>
    </row>
    <row r="30" spans="2:14" x14ac:dyDescent="0.25">
      <c r="L30" t="s">
        <v>202</v>
      </c>
      <c r="M30" t="s">
        <v>203</v>
      </c>
      <c r="N30" t="s">
        <v>204</v>
      </c>
    </row>
    <row r="31" spans="2:14" x14ac:dyDescent="0.25">
      <c r="L31" t="s">
        <v>205</v>
      </c>
      <c r="M31" s="67">
        <f>RATIOS!B8</f>
        <v>0.4</v>
      </c>
      <c r="N31" s="67">
        <f>RATIOS!C8</f>
        <v>0.4</v>
      </c>
    </row>
    <row r="32" spans="2:14" x14ac:dyDescent="0.25">
      <c r="L32" t="s">
        <v>206</v>
      </c>
      <c r="M32" s="67">
        <f>RATIOS!B9</f>
        <v>0.13500000000000001</v>
      </c>
      <c r="N32" s="67">
        <f>RATIOS!C9</f>
        <v>0.13500000000000001</v>
      </c>
    </row>
    <row r="33" spans="2:14" ht="19.5" customHeight="1" x14ac:dyDescent="0.25">
      <c r="B33" s="1" t="s">
        <v>207</v>
      </c>
      <c r="C33" s="1"/>
      <c r="D33" s="1"/>
      <c r="E33" s="1"/>
      <c r="F33" s="1"/>
      <c r="G33" s="1"/>
      <c r="H33" s="1"/>
      <c r="I33" s="1"/>
      <c r="L33" t="s">
        <v>208</v>
      </c>
      <c r="M33" s="67">
        <f>RATIOS!B10</f>
        <v>7.9094117647058829E-2</v>
      </c>
      <c r="N33" s="67">
        <f>RATIOS!C10</f>
        <v>7.8750000000000001E-2</v>
      </c>
    </row>
    <row r="35" spans="2:14" x14ac:dyDescent="0.25">
      <c r="L35" t="s">
        <v>209</v>
      </c>
      <c r="M35" t="s">
        <v>210</v>
      </c>
      <c r="N35" t="s">
        <v>211</v>
      </c>
    </row>
    <row r="36" spans="2:14" x14ac:dyDescent="0.25">
      <c r="L36" t="s">
        <v>169</v>
      </c>
      <c r="M36" s="68">
        <f>IFERROR(RATIOS!B18,0)</f>
        <v>1.8155339805825244</v>
      </c>
      <c r="N36" s="68">
        <f>IFERROR(RATIOS!E18,0)</f>
        <v>1.5</v>
      </c>
    </row>
    <row r="37" spans="2:14" x14ac:dyDescent="0.25">
      <c r="L37" t="s">
        <v>212</v>
      </c>
      <c r="M37" s="68">
        <f>IFERROR(RATIOS!B19,0)</f>
        <v>1.2378640776699028</v>
      </c>
      <c r="N37" s="68">
        <f>IFERROR(RATIOS!E19,0)</f>
        <v>1</v>
      </c>
    </row>
    <row r="38" spans="2:14" x14ac:dyDescent="0.25">
      <c r="L38" t="s">
        <v>171</v>
      </c>
      <c r="M38" s="68">
        <f>IFERROR(RATIOS!B20,0)</f>
        <v>0.41262135922330095</v>
      </c>
      <c r="N38" s="68">
        <f>IFERROR(RATIOS!E20,0)</f>
        <v>0.3</v>
      </c>
    </row>
    <row r="39" spans="2:14" x14ac:dyDescent="0.25">
      <c r="L39" t="s">
        <v>213</v>
      </c>
      <c r="M39" s="68">
        <f>IFERROR(RATIOS!B32,0)</f>
        <v>0.5524861878453039</v>
      </c>
      <c r="N39" s="68">
        <f>IFERROR(RATIOS!E32,0)</f>
        <v>1</v>
      </c>
    </row>
    <row r="40" spans="2:14" x14ac:dyDescent="0.25">
      <c r="L40" t="s">
        <v>214</v>
      </c>
      <c r="M40" s="68">
        <f>IFERROR(RATIOS!B33,0)</f>
        <v>0.27359781121751026</v>
      </c>
      <c r="N40" s="68">
        <f>IFERROR(RATIOS!E33,0)</f>
        <v>0.5</v>
      </c>
    </row>
    <row r="41" spans="2:14" x14ac:dyDescent="0.25">
      <c r="L41" t="s">
        <v>215</v>
      </c>
      <c r="M41" s="68">
        <f>IFERROR(RATIOS!B34,0)</f>
        <v>6.1363636363636367</v>
      </c>
      <c r="N41" s="68">
        <f>IFERROR(RATIOS!E34,0)</f>
        <v>3</v>
      </c>
    </row>
  </sheetData>
  <mergeCells count="23">
    <mergeCell ref="B17:D17"/>
    <mergeCell ref="F17:I17"/>
    <mergeCell ref="B18:D18"/>
    <mergeCell ref="F18:I18"/>
    <mergeCell ref="B33:I33"/>
    <mergeCell ref="B14:D14"/>
    <mergeCell ref="F14:I14"/>
    <mergeCell ref="B15:D15"/>
    <mergeCell ref="F15:I15"/>
    <mergeCell ref="B16:D16"/>
    <mergeCell ref="F16:I16"/>
    <mergeCell ref="B9:C9"/>
    <mergeCell ref="E9:F9"/>
    <mergeCell ref="H9:I9"/>
    <mergeCell ref="B12:I12"/>
    <mergeCell ref="B13:D13"/>
    <mergeCell ref="F13:I13"/>
    <mergeCell ref="B2:I2"/>
    <mergeCell ref="B3:I3"/>
    <mergeCell ref="B5:I5"/>
    <mergeCell ref="B6:C6"/>
    <mergeCell ref="E6:F6"/>
    <mergeCell ref="H6:I6"/>
  </mergeCells>
  <conditionalFormatting sqref="E14:E18">
    <cfRule type="expression" dxfId="3" priority="2">
      <formula>E14="STRONG"</formula>
    </cfRule>
    <cfRule type="expression" dxfId="2" priority="3">
      <formula>E14="ACCEPTABLE"</formula>
    </cfRule>
    <cfRule type="expression" dxfId="1" priority="4">
      <formula>E14="CAUTION"</formula>
    </cfRule>
    <cfRule type="expression" dxfId="0" priority="5">
      <formula>E14="REVIEW"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0082"/>
  </sheetPr>
  <dimension ref="A2:E34"/>
  <sheetViews>
    <sheetView showGridLines="0" zoomScaleNormal="100" workbookViewId="0">
      <selection activeCell="B38" sqref="B38"/>
    </sheetView>
  </sheetViews>
  <sheetFormatPr defaultColWidth="8.7109375" defaultRowHeight="15" x14ac:dyDescent="0.25"/>
  <cols>
    <col min="1" max="1" width="40" customWidth="1"/>
    <col min="2" max="2" width="14" customWidth="1"/>
    <col min="3" max="3" width="18" customWidth="1"/>
    <col min="4" max="4" width="22" customWidth="1"/>
    <col min="5" max="5" width="52" customWidth="1"/>
  </cols>
  <sheetData>
    <row r="2" spans="1:5" ht="18" x14ac:dyDescent="0.25">
      <c r="A2" s="10" t="s">
        <v>216</v>
      </c>
      <c r="B2" s="10"/>
      <c r="C2" s="10"/>
      <c r="D2" s="10"/>
      <c r="E2" s="10"/>
    </row>
    <row r="3" spans="1:5" x14ac:dyDescent="0.25">
      <c r="A3" s="13" t="s">
        <v>217</v>
      </c>
      <c r="B3" s="13"/>
      <c r="C3" s="13"/>
      <c r="D3" s="13"/>
      <c r="E3" s="13"/>
    </row>
    <row r="4" spans="1:5" x14ac:dyDescent="0.25">
      <c r="A4" s="8" t="s">
        <v>218</v>
      </c>
      <c r="B4" s="8"/>
      <c r="C4" s="8"/>
      <c r="D4" s="8"/>
      <c r="E4" s="8"/>
    </row>
    <row r="5" spans="1:5" x14ac:dyDescent="0.25">
      <c r="A5" s="35" t="s">
        <v>219</v>
      </c>
      <c r="B5" s="36" t="s">
        <v>220</v>
      </c>
      <c r="C5" s="37" t="s">
        <v>221</v>
      </c>
      <c r="D5" s="37" t="s">
        <v>222</v>
      </c>
      <c r="E5" s="35" t="s">
        <v>223</v>
      </c>
    </row>
    <row r="6" spans="1:5" ht="25.5" x14ac:dyDescent="0.25">
      <c r="A6" s="20" t="s">
        <v>160</v>
      </c>
      <c r="B6" s="69">
        <v>0.35</v>
      </c>
      <c r="C6" s="70" t="s">
        <v>224</v>
      </c>
      <c r="D6" s="70" t="s">
        <v>225</v>
      </c>
      <c r="E6" s="16" t="s">
        <v>226</v>
      </c>
    </row>
    <row r="7" spans="1:5" ht="25.5" x14ac:dyDescent="0.25">
      <c r="A7" s="41" t="s">
        <v>161</v>
      </c>
      <c r="B7" s="69">
        <v>0.12</v>
      </c>
      <c r="C7" s="71" t="s">
        <v>227</v>
      </c>
      <c r="D7" s="71" t="s">
        <v>228</v>
      </c>
      <c r="E7" s="18" t="s">
        <v>229</v>
      </c>
    </row>
    <row r="8" spans="1:5" x14ac:dyDescent="0.25">
      <c r="A8" s="20" t="s">
        <v>162</v>
      </c>
      <c r="B8" s="69">
        <v>0.08</v>
      </c>
      <c r="C8" s="70" t="s">
        <v>230</v>
      </c>
      <c r="D8" s="70" t="s">
        <v>231</v>
      </c>
      <c r="E8" s="16" t="s">
        <v>232</v>
      </c>
    </row>
    <row r="9" spans="1:5" x14ac:dyDescent="0.25">
      <c r="A9" s="41" t="s">
        <v>163</v>
      </c>
      <c r="B9" s="69">
        <v>0.1</v>
      </c>
      <c r="C9" s="71" t="s">
        <v>233</v>
      </c>
      <c r="D9" s="71" t="s">
        <v>234</v>
      </c>
      <c r="E9" s="18" t="s">
        <v>235</v>
      </c>
    </row>
    <row r="10" spans="1:5" x14ac:dyDescent="0.25">
      <c r="A10" s="20" t="s">
        <v>164</v>
      </c>
      <c r="B10" s="69">
        <v>0.15</v>
      </c>
      <c r="C10" s="70" t="s">
        <v>236</v>
      </c>
      <c r="D10" s="70" t="s">
        <v>237</v>
      </c>
      <c r="E10" s="16" t="s">
        <v>238</v>
      </c>
    </row>
    <row r="11" spans="1:5" x14ac:dyDescent="0.25">
      <c r="A11" s="41" t="s">
        <v>165</v>
      </c>
      <c r="B11" s="69">
        <v>0.12</v>
      </c>
      <c r="C11" s="71" t="s">
        <v>228</v>
      </c>
      <c r="D11" s="71" t="s">
        <v>239</v>
      </c>
      <c r="E11" s="18" t="s">
        <v>240</v>
      </c>
    </row>
    <row r="12" spans="1:5" x14ac:dyDescent="0.25">
      <c r="A12" s="20" t="s">
        <v>166</v>
      </c>
      <c r="B12" s="69">
        <v>0.18</v>
      </c>
      <c r="C12" s="70" t="s">
        <v>239</v>
      </c>
      <c r="D12" s="70" t="s">
        <v>237</v>
      </c>
      <c r="E12" s="16" t="s">
        <v>241</v>
      </c>
    </row>
    <row r="13" spans="1:5" x14ac:dyDescent="0.25">
      <c r="A13" s="41" t="s">
        <v>167</v>
      </c>
      <c r="B13" s="69">
        <v>0.65</v>
      </c>
      <c r="C13" s="71" t="s">
        <v>242</v>
      </c>
      <c r="D13" s="71" t="s">
        <v>243</v>
      </c>
      <c r="E13" s="18" t="s">
        <v>244</v>
      </c>
    </row>
    <row r="14" spans="1:5" x14ac:dyDescent="0.25">
      <c r="A14" s="20" t="s">
        <v>169</v>
      </c>
      <c r="B14" s="69">
        <v>1.5</v>
      </c>
      <c r="C14" s="70" t="s">
        <v>245</v>
      </c>
      <c r="D14" s="70" t="s">
        <v>246</v>
      </c>
      <c r="E14" s="16" t="s">
        <v>247</v>
      </c>
    </row>
    <row r="15" spans="1:5" x14ac:dyDescent="0.25">
      <c r="A15" s="41" t="s">
        <v>170</v>
      </c>
      <c r="B15" s="69">
        <v>1</v>
      </c>
      <c r="C15" s="71" t="s">
        <v>248</v>
      </c>
      <c r="D15" s="71" t="s">
        <v>249</v>
      </c>
      <c r="E15" s="18" t="s">
        <v>250</v>
      </c>
    </row>
    <row r="16" spans="1:5" x14ac:dyDescent="0.25">
      <c r="A16" s="20" t="s">
        <v>171</v>
      </c>
      <c r="B16" s="69">
        <v>0.3</v>
      </c>
      <c r="C16" s="70" t="s">
        <v>251</v>
      </c>
      <c r="D16" s="70" t="s">
        <v>252</v>
      </c>
      <c r="E16" s="16" t="s">
        <v>253</v>
      </c>
    </row>
    <row r="17" spans="1:5" x14ac:dyDescent="0.25">
      <c r="A17" s="41" t="s">
        <v>172</v>
      </c>
      <c r="B17" s="69">
        <v>7.0000000000000007E-2</v>
      </c>
      <c r="C17" s="71" t="s">
        <v>254</v>
      </c>
      <c r="D17" s="71" t="s">
        <v>231</v>
      </c>
      <c r="E17" s="18" t="s">
        <v>255</v>
      </c>
    </row>
    <row r="18" spans="1:5" x14ac:dyDescent="0.25">
      <c r="A18" s="20" t="s">
        <v>174</v>
      </c>
      <c r="B18" s="69">
        <v>45</v>
      </c>
      <c r="C18" s="70" t="s">
        <v>256</v>
      </c>
      <c r="D18" s="70" t="s">
        <v>257</v>
      </c>
      <c r="E18" s="16" t="s">
        <v>258</v>
      </c>
    </row>
    <row r="19" spans="1:5" x14ac:dyDescent="0.25">
      <c r="A19" s="41" t="s">
        <v>175</v>
      </c>
      <c r="B19" s="69">
        <v>45</v>
      </c>
      <c r="C19" s="71" t="s">
        <v>256</v>
      </c>
      <c r="D19" s="71" t="s">
        <v>256</v>
      </c>
      <c r="E19" s="18" t="s">
        <v>259</v>
      </c>
    </row>
    <row r="20" spans="1:5" x14ac:dyDescent="0.25">
      <c r="A20" s="20" t="s">
        <v>176</v>
      </c>
      <c r="B20" s="69">
        <v>60</v>
      </c>
      <c r="C20" s="70" t="s">
        <v>260</v>
      </c>
      <c r="D20" s="70" t="s">
        <v>261</v>
      </c>
      <c r="E20" s="16" t="s">
        <v>262</v>
      </c>
    </row>
    <row r="21" spans="1:5" x14ac:dyDescent="0.25">
      <c r="A21" s="41" t="s">
        <v>177</v>
      </c>
      <c r="B21" s="69">
        <v>60</v>
      </c>
      <c r="C21" s="71" t="s">
        <v>263</v>
      </c>
      <c r="D21" s="71" t="s">
        <v>264</v>
      </c>
      <c r="E21" s="18" t="s">
        <v>265</v>
      </c>
    </row>
    <row r="22" spans="1:5" x14ac:dyDescent="0.25">
      <c r="A22" s="20" t="s">
        <v>178</v>
      </c>
      <c r="B22" s="69">
        <v>1.2</v>
      </c>
      <c r="C22" s="70" t="s">
        <v>266</v>
      </c>
      <c r="D22" s="70" t="s">
        <v>249</v>
      </c>
      <c r="E22" s="16" t="s">
        <v>267</v>
      </c>
    </row>
    <row r="23" spans="1:5" x14ac:dyDescent="0.25">
      <c r="A23" s="41" t="s">
        <v>179</v>
      </c>
      <c r="B23" s="69">
        <v>1000</v>
      </c>
      <c r="C23" s="71" t="s">
        <v>268</v>
      </c>
      <c r="D23" s="71" t="s">
        <v>269</v>
      </c>
      <c r="E23" s="18" t="s">
        <v>270</v>
      </c>
    </row>
    <row r="24" spans="1:5" ht="25.5" x14ac:dyDescent="0.25">
      <c r="A24" s="20" t="s">
        <v>181</v>
      </c>
      <c r="B24" s="69">
        <v>1</v>
      </c>
      <c r="C24" s="70" t="s">
        <v>271</v>
      </c>
      <c r="D24" s="70" t="s">
        <v>271</v>
      </c>
      <c r="E24" s="16" t="s">
        <v>272</v>
      </c>
    </row>
    <row r="25" spans="1:5" x14ac:dyDescent="0.25">
      <c r="A25" s="41" t="s">
        <v>182</v>
      </c>
      <c r="B25" s="69">
        <v>0.5</v>
      </c>
      <c r="C25" s="71" t="s">
        <v>273</v>
      </c>
      <c r="D25" s="71" t="s">
        <v>273</v>
      </c>
      <c r="E25" s="18" t="s">
        <v>274</v>
      </c>
    </row>
    <row r="26" spans="1:5" x14ac:dyDescent="0.25">
      <c r="A26" s="20" t="s">
        <v>183</v>
      </c>
      <c r="B26" s="69">
        <v>3</v>
      </c>
      <c r="C26" s="70" t="s">
        <v>275</v>
      </c>
      <c r="D26" s="70" t="s">
        <v>276</v>
      </c>
      <c r="E26" s="16" t="s">
        <v>277</v>
      </c>
    </row>
    <row r="27" spans="1:5" x14ac:dyDescent="0.25">
      <c r="A27" s="41" t="s">
        <v>184</v>
      </c>
      <c r="B27" s="72" t="s">
        <v>278</v>
      </c>
      <c r="C27" s="71" t="s">
        <v>279</v>
      </c>
      <c r="D27" s="71" t="s">
        <v>278</v>
      </c>
      <c r="E27" s="18" t="s">
        <v>280</v>
      </c>
    </row>
    <row r="28" spans="1:5" x14ac:dyDescent="0.25">
      <c r="A28" s="20" t="s">
        <v>185</v>
      </c>
      <c r="B28" s="69">
        <v>2.5</v>
      </c>
      <c r="C28" s="70" t="s">
        <v>281</v>
      </c>
      <c r="D28" s="70" t="s">
        <v>282</v>
      </c>
      <c r="E28" s="16" t="s">
        <v>283</v>
      </c>
    </row>
    <row r="29" spans="1:5" x14ac:dyDescent="0.25">
      <c r="A29" s="41" t="s">
        <v>186</v>
      </c>
      <c r="B29" s="69">
        <v>2</v>
      </c>
      <c r="C29" s="71" t="s">
        <v>284</v>
      </c>
      <c r="D29" s="71" t="s">
        <v>284</v>
      </c>
      <c r="E29" s="18" t="s">
        <v>285</v>
      </c>
    </row>
    <row r="30" spans="1:5" x14ac:dyDescent="0.25">
      <c r="A30" s="20" t="s">
        <v>188</v>
      </c>
      <c r="B30" s="72" t="s">
        <v>278</v>
      </c>
      <c r="C30" s="70" t="s">
        <v>278</v>
      </c>
      <c r="D30" s="70" t="s">
        <v>278</v>
      </c>
      <c r="E30" s="16" t="s">
        <v>286</v>
      </c>
    </row>
    <row r="31" spans="1:5" x14ac:dyDescent="0.25">
      <c r="A31" s="41" t="s">
        <v>189</v>
      </c>
      <c r="B31" s="69">
        <v>10</v>
      </c>
      <c r="C31" s="71" t="s">
        <v>287</v>
      </c>
      <c r="D31" s="71" t="s">
        <v>288</v>
      </c>
      <c r="E31" s="18" t="s">
        <v>289</v>
      </c>
    </row>
    <row r="32" spans="1:5" x14ac:dyDescent="0.25">
      <c r="A32" s="20" t="s">
        <v>190</v>
      </c>
      <c r="B32" s="69">
        <v>1.5</v>
      </c>
      <c r="C32" s="70" t="s">
        <v>290</v>
      </c>
      <c r="D32" s="70" t="s">
        <v>281</v>
      </c>
      <c r="E32" s="16" t="s">
        <v>291</v>
      </c>
    </row>
    <row r="33" spans="1:5" x14ac:dyDescent="0.25">
      <c r="A33" s="41" t="s">
        <v>191</v>
      </c>
      <c r="B33" s="72" t="s">
        <v>278</v>
      </c>
      <c r="C33" s="71" t="s">
        <v>278</v>
      </c>
      <c r="D33" s="71" t="s">
        <v>278</v>
      </c>
      <c r="E33" s="18" t="s">
        <v>292</v>
      </c>
    </row>
    <row r="34" spans="1:5" ht="28.5" customHeight="1" x14ac:dyDescent="0.25">
      <c r="A34" s="73" t="s">
        <v>293</v>
      </c>
      <c r="B34" s="73"/>
      <c r="C34" s="73"/>
      <c r="D34" s="73"/>
      <c r="E34" s="73"/>
    </row>
  </sheetData>
  <mergeCells count="4">
    <mergeCell ref="A2:E2"/>
    <mergeCell ref="A3:E3"/>
    <mergeCell ref="A4:E4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INPUT</vt:lpstr>
      <vt:lpstr>RATIOS</vt:lpstr>
      <vt:lpstr>DASHBOARD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</cp:lastModifiedBy>
  <cp:revision>1</cp:revision>
  <dcterms:created xsi:type="dcterms:W3CDTF">2026-05-05T17:00:05Z</dcterms:created>
  <dcterms:modified xsi:type="dcterms:W3CDTF">2026-05-05T18:03:48Z</dcterms:modified>
  <dc:language>en-US</dc:language>
</cp:coreProperties>
</file>