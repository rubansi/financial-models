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nce\Desktop\Claude\Costing Models by Claude\"/>
    </mc:Choice>
  </mc:AlternateContent>
  <xr:revisionPtr revIDLastSave="0" documentId="13_ncr:1_{F2D390D2-1500-4D08-8972-4D5BCE849244}" xr6:coauthVersionLast="47" xr6:coauthVersionMax="47" xr10:uidLastSave="{00000000-0000-0000-0000-000000000000}"/>
  <bookViews>
    <workbookView xWindow="-120" yWindow="-120" windowWidth="29040" windowHeight="15720" tabRatio="694" xr2:uid="{00000000-000D-0000-FFFF-FFFF00000000}"/>
  </bookViews>
  <sheets>
    <sheet name="Notes" sheetId="7" r:id="rId1"/>
    <sheet name="Assumptions" sheetId="1" r:id="rId2"/>
    <sheet name="Product Catalog &amp; Landed Cost" sheetId="2" r:id="rId3"/>
    <sheet name="Operating Expenses" sheetId="3" r:id="rId4"/>
    <sheet name="Pricing Model" sheetId="4" r:id="rId5"/>
    <sheet name="Monthly P&amp;L" sheetId="5" r:id="rId6"/>
    <sheet name="Sensitivity Analysis" sheetId="6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6" l="1"/>
  <c r="F16" i="6"/>
  <c r="E16" i="6"/>
  <c r="D16" i="6"/>
  <c r="C16" i="6"/>
  <c r="G10" i="6"/>
  <c r="F10" i="6"/>
  <c r="E10" i="6"/>
  <c r="D10" i="6"/>
  <c r="C10" i="6"/>
  <c r="G9" i="6"/>
  <c r="F9" i="6"/>
  <c r="E9" i="6"/>
  <c r="D9" i="6"/>
  <c r="C9" i="6"/>
  <c r="G8" i="6"/>
  <c r="F8" i="6"/>
  <c r="E8" i="6"/>
  <c r="D8" i="6"/>
  <c r="C8" i="6"/>
  <c r="C4" i="6"/>
  <c r="C5" i="5"/>
  <c r="C33" i="3"/>
  <c r="C20" i="5" s="1"/>
  <c r="D32" i="3"/>
  <c r="C27" i="3"/>
  <c r="C19" i="5" s="1"/>
  <c r="D22" i="3"/>
  <c r="D21" i="3"/>
  <c r="C18" i="3"/>
  <c r="C18" i="5" s="1"/>
  <c r="C11" i="3"/>
  <c r="D7" i="3"/>
  <c r="D6" i="3"/>
  <c r="R30" i="2"/>
  <c r="M30" i="2"/>
  <c r="I30" i="2"/>
  <c r="J30" i="2" s="1"/>
  <c r="H30" i="2"/>
  <c r="R29" i="2"/>
  <c r="M29" i="2"/>
  <c r="I29" i="2"/>
  <c r="H29" i="2"/>
  <c r="R28" i="2"/>
  <c r="M28" i="2"/>
  <c r="J28" i="2"/>
  <c r="K28" i="2" s="1"/>
  <c r="I28" i="2"/>
  <c r="H28" i="2"/>
  <c r="R27" i="2"/>
  <c r="M27" i="2"/>
  <c r="I27" i="2"/>
  <c r="H27" i="2"/>
  <c r="R26" i="2"/>
  <c r="M26" i="2"/>
  <c r="K26" i="2"/>
  <c r="J26" i="2"/>
  <c r="I26" i="2"/>
  <c r="H26" i="2"/>
  <c r="R25" i="2"/>
  <c r="M25" i="2"/>
  <c r="I25" i="2"/>
  <c r="H25" i="2"/>
  <c r="R24" i="2"/>
  <c r="M24" i="2"/>
  <c r="I24" i="2"/>
  <c r="H24" i="2"/>
  <c r="R23" i="2"/>
  <c r="M23" i="2"/>
  <c r="I23" i="2"/>
  <c r="H23" i="2"/>
  <c r="R22" i="2"/>
  <c r="M22" i="2"/>
  <c r="J22" i="2"/>
  <c r="I22" i="2"/>
  <c r="K22" i="2" s="1"/>
  <c r="H22" i="2"/>
  <c r="R21" i="2"/>
  <c r="M21" i="2"/>
  <c r="I21" i="2"/>
  <c r="H21" i="2"/>
  <c r="R20" i="2"/>
  <c r="M20" i="2"/>
  <c r="I20" i="2"/>
  <c r="J20" i="2" s="1"/>
  <c r="K20" i="2" s="1"/>
  <c r="H20" i="2"/>
  <c r="R19" i="2"/>
  <c r="M19" i="2"/>
  <c r="I19" i="2"/>
  <c r="H19" i="2"/>
  <c r="R18" i="2"/>
  <c r="M18" i="2"/>
  <c r="I18" i="2"/>
  <c r="H18" i="2"/>
  <c r="R17" i="2"/>
  <c r="M17" i="2"/>
  <c r="I17" i="2"/>
  <c r="H17" i="2"/>
  <c r="R16" i="2"/>
  <c r="M16" i="2"/>
  <c r="I16" i="2"/>
  <c r="H16" i="2"/>
  <c r="R15" i="2"/>
  <c r="M15" i="2"/>
  <c r="I15" i="2"/>
  <c r="H15" i="2"/>
  <c r="R14" i="2"/>
  <c r="M14" i="2"/>
  <c r="I14" i="2"/>
  <c r="H14" i="2"/>
  <c r="R13" i="2"/>
  <c r="M13" i="2"/>
  <c r="I13" i="2"/>
  <c r="H13" i="2"/>
  <c r="R12" i="2"/>
  <c r="M12" i="2"/>
  <c r="J12" i="2"/>
  <c r="K12" i="2" s="1"/>
  <c r="I12" i="2"/>
  <c r="H12" i="2"/>
  <c r="R11" i="2"/>
  <c r="M11" i="2"/>
  <c r="I11" i="2"/>
  <c r="H11" i="2"/>
  <c r="R10" i="2"/>
  <c r="M10" i="2"/>
  <c r="K10" i="2"/>
  <c r="J10" i="2"/>
  <c r="I10" i="2"/>
  <c r="H10" i="2"/>
  <c r="R9" i="2"/>
  <c r="M9" i="2"/>
  <c r="I9" i="2"/>
  <c r="H9" i="2"/>
  <c r="R8" i="2"/>
  <c r="M8" i="2"/>
  <c r="I8" i="2"/>
  <c r="H8" i="2"/>
  <c r="R7" i="2"/>
  <c r="M7" i="2"/>
  <c r="I7" i="2"/>
  <c r="H7" i="2"/>
  <c r="R6" i="2"/>
  <c r="M6" i="2"/>
  <c r="I6" i="2"/>
  <c r="J6" i="2" s="1"/>
  <c r="H6" i="2"/>
  <c r="R5" i="2"/>
  <c r="M5" i="2"/>
  <c r="I5" i="2"/>
  <c r="H5" i="2"/>
  <c r="C10" i="1"/>
  <c r="O12" i="2" l="1"/>
  <c r="N12" i="2"/>
  <c r="L12" i="2"/>
  <c r="P12" i="2" s="1"/>
  <c r="O22" i="2"/>
  <c r="N22" i="2"/>
  <c r="L22" i="2"/>
  <c r="O28" i="2"/>
  <c r="N28" i="2"/>
  <c r="L28" i="2"/>
  <c r="O20" i="2"/>
  <c r="N20" i="2"/>
  <c r="L20" i="2"/>
  <c r="P20" i="2" s="1"/>
  <c r="S20" i="2" s="1"/>
  <c r="E21" i="4" s="1"/>
  <c r="Q20" i="2"/>
  <c r="J15" i="2"/>
  <c r="K15" i="2" s="1"/>
  <c r="L10" i="2"/>
  <c r="P10" i="2" s="1"/>
  <c r="J14" i="2"/>
  <c r="K14" i="2" s="1"/>
  <c r="D27" i="3"/>
  <c r="D18" i="3"/>
  <c r="D10" i="3"/>
  <c r="D9" i="3"/>
  <c r="D26" i="3"/>
  <c r="D17" i="3"/>
  <c r="D8" i="3"/>
  <c r="J16" i="2"/>
  <c r="K16" i="2" s="1"/>
  <c r="J19" i="2"/>
  <c r="K19" i="2" s="1"/>
  <c r="K30" i="2"/>
  <c r="C35" i="3"/>
  <c r="D23" i="3"/>
  <c r="D33" i="3"/>
  <c r="C17" i="5"/>
  <c r="K5" i="2"/>
  <c r="J5" i="2"/>
  <c r="J18" i="2"/>
  <c r="K18" i="2" s="1"/>
  <c r="K21" i="2"/>
  <c r="J21" i="2"/>
  <c r="D11" i="3"/>
  <c r="D24" i="3"/>
  <c r="J7" i="2"/>
  <c r="K7" i="2" s="1"/>
  <c r="J23" i="2"/>
  <c r="K23" i="2" s="1"/>
  <c r="D14" i="3"/>
  <c r="D25" i="3"/>
  <c r="J9" i="2"/>
  <c r="K9" i="2" s="1"/>
  <c r="J25" i="2"/>
  <c r="K25" i="2" s="1"/>
  <c r="D15" i="3"/>
  <c r="O10" i="2"/>
  <c r="N10" i="2"/>
  <c r="O26" i="2"/>
  <c r="N26" i="2"/>
  <c r="J17" i="2"/>
  <c r="K17" i="2" s="1"/>
  <c r="L26" i="2"/>
  <c r="K6" i="2"/>
  <c r="J8" i="2"/>
  <c r="K8" i="2" s="1"/>
  <c r="J11" i="2"/>
  <c r="K11" i="2" s="1"/>
  <c r="J24" i="2"/>
  <c r="K24" i="2" s="1"/>
  <c r="J27" i="2"/>
  <c r="K27" i="2" s="1"/>
  <c r="D16" i="3"/>
  <c r="D30" i="3"/>
  <c r="K13" i="2"/>
  <c r="J13" i="2"/>
  <c r="J29" i="2"/>
  <c r="K29" i="2" s="1"/>
  <c r="D31" i="3"/>
  <c r="C6" i="5"/>
  <c r="O16" i="2" l="1"/>
  <c r="N16" i="2"/>
  <c r="L16" i="2"/>
  <c r="P16" i="2" s="1"/>
  <c r="Q16" i="2" s="1"/>
  <c r="L23" i="2"/>
  <c r="P23" i="2" s="1"/>
  <c r="Q23" i="2" s="1"/>
  <c r="S23" i="2" s="1"/>
  <c r="E24" i="4" s="1"/>
  <c r="N23" i="2"/>
  <c r="O23" i="2"/>
  <c r="O24" i="2"/>
  <c r="N24" i="2"/>
  <c r="L24" i="2"/>
  <c r="P24" i="2" s="1"/>
  <c r="Q24" i="2"/>
  <c r="S24" i="2" s="1"/>
  <c r="E25" i="4" s="1"/>
  <c r="L7" i="2"/>
  <c r="N7" i="2"/>
  <c r="O7" i="2"/>
  <c r="L15" i="2"/>
  <c r="P15" i="2" s="1"/>
  <c r="Q15" i="2"/>
  <c r="S15" i="2" s="1"/>
  <c r="E16" i="4" s="1"/>
  <c r="O15" i="2"/>
  <c r="N15" i="2"/>
  <c r="L11" i="2"/>
  <c r="N11" i="2"/>
  <c r="O11" i="2"/>
  <c r="L29" i="2"/>
  <c r="P29" i="2" s="1"/>
  <c r="O29" i="2"/>
  <c r="N29" i="2"/>
  <c r="L27" i="2"/>
  <c r="O27" i="2"/>
  <c r="N27" i="2"/>
  <c r="O8" i="2"/>
  <c r="N8" i="2"/>
  <c r="L8" i="2"/>
  <c r="P8" i="2" s="1"/>
  <c r="Q8" i="2"/>
  <c r="S8" i="2" s="1"/>
  <c r="E9" i="4" s="1"/>
  <c r="O14" i="2"/>
  <c r="N14" i="2"/>
  <c r="L14" i="2"/>
  <c r="L25" i="2"/>
  <c r="N25" i="2"/>
  <c r="O25" i="2"/>
  <c r="L9" i="2"/>
  <c r="O9" i="2"/>
  <c r="N9" i="2"/>
  <c r="L17" i="2"/>
  <c r="P17" i="2" s="1"/>
  <c r="O17" i="2"/>
  <c r="N17" i="2"/>
  <c r="O18" i="2"/>
  <c r="N18" i="2"/>
  <c r="L18" i="2"/>
  <c r="P18" i="2" s="1"/>
  <c r="L19" i="2"/>
  <c r="O19" i="2"/>
  <c r="N19" i="2"/>
  <c r="Q12" i="2"/>
  <c r="S12" i="2" s="1"/>
  <c r="E13" i="4" s="1"/>
  <c r="L13" i="2"/>
  <c r="O13" i="2"/>
  <c r="N13" i="2"/>
  <c r="L21" i="2"/>
  <c r="O21" i="2"/>
  <c r="N21" i="2"/>
  <c r="P28" i="2"/>
  <c r="C17" i="6"/>
  <c r="C18" i="6" s="1"/>
  <c r="D35" i="3"/>
  <c r="G3" i="4" s="1"/>
  <c r="G17" i="6"/>
  <c r="G18" i="6" s="1"/>
  <c r="F17" i="6"/>
  <c r="F18" i="6" s="1"/>
  <c r="E17" i="6"/>
  <c r="E18" i="6" s="1"/>
  <c r="D17" i="6"/>
  <c r="D18" i="6" s="1"/>
  <c r="C21" i="5"/>
  <c r="O30" i="2"/>
  <c r="N30" i="2"/>
  <c r="L30" i="2"/>
  <c r="P30" i="2" s="1"/>
  <c r="Q10" i="2"/>
  <c r="S10" i="2" s="1"/>
  <c r="E11" i="4" s="1"/>
  <c r="P22" i="2"/>
  <c r="L5" i="2"/>
  <c r="O5" i="2"/>
  <c r="N5" i="2"/>
  <c r="O6" i="2"/>
  <c r="N6" i="2"/>
  <c r="L6" i="2"/>
  <c r="P26" i="2"/>
  <c r="S17" i="2" l="1"/>
  <c r="E18" i="4" s="1"/>
  <c r="S18" i="2"/>
  <c r="E19" i="4" s="1"/>
  <c r="H9" i="4"/>
  <c r="S29" i="2"/>
  <c r="E30" i="4" s="1"/>
  <c r="H11" i="4"/>
  <c r="S30" i="2"/>
  <c r="E31" i="4" s="1"/>
  <c r="H31" i="4" s="1"/>
  <c r="H25" i="4"/>
  <c r="Q30" i="2"/>
  <c r="P27" i="2"/>
  <c r="S16" i="2"/>
  <c r="E17" i="4" s="1"/>
  <c r="P21" i="2"/>
  <c r="P25" i="2"/>
  <c r="P14" i="2"/>
  <c r="Q18" i="2"/>
  <c r="Q26" i="2"/>
  <c r="S26" i="2" s="1"/>
  <c r="E27" i="4" s="1"/>
  <c r="H27" i="4" s="1"/>
  <c r="P9" i="2"/>
  <c r="P11" i="2"/>
  <c r="P5" i="2"/>
  <c r="P19" i="2"/>
  <c r="Q17" i="2"/>
  <c r="Q29" i="2"/>
  <c r="F29" i="4"/>
  <c r="F28" i="4"/>
  <c r="F20" i="4"/>
  <c r="F12" i="4"/>
  <c r="F27" i="4"/>
  <c r="F19" i="4"/>
  <c r="F11" i="4"/>
  <c r="F26" i="4"/>
  <c r="F18" i="4"/>
  <c r="F10" i="4"/>
  <c r="F25" i="4"/>
  <c r="F17" i="4"/>
  <c r="F30" i="4"/>
  <c r="F16" i="4"/>
  <c r="H16" i="4" s="1"/>
  <c r="F23" i="4"/>
  <c r="F9" i="4"/>
  <c r="F22" i="4"/>
  <c r="F13" i="4"/>
  <c r="H13" i="4" s="1"/>
  <c r="F8" i="4"/>
  <c r="F14" i="4"/>
  <c r="F21" i="4"/>
  <c r="H21" i="4" s="1"/>
  <c r="F6" i="4"/>
  <c r="F31" i="4"/>
  <c r="F24" i="4"/>
  <c r="H24" i="4" s="1"/>
  <c r="F15" i="4"/>
  <c r="F7" i="4"/>
  <c r="Q28" i="2"/>
  <c r="S28" i="2" s="1"/>
  <c r="E29" i="4" s="1"/>
  <c r="H29" i="4" s="1"/>
  <c r="P6" i="2"/>
  <c r="Q22" i="2"/>
  <c r="S22" i="2" s="1"/>
  <c r="E23" i="4" s="1"/>
  <c r="H23" i="4" s="1"/>
  <c r="P13" i="2"/>
  <c r="P7" i="2"/>
  <c r="I27" i="4" l="1"/>
  <c r="N27" i="4" s="1"/>
  <c r="M27" i="4"/>
  <c r="K27" i="4"/>
  <c r="L27" i="4" s="1"/>
  <c r="J27" i="4"/>
  <c r="K24" i="4"/>
  <c r="L24" i="4" s="1"/>
  <c r="J24" i="4"/>
  <c r="I24" i="4"/>
  <c r="N24" i="4" s="1"/>
  <c r="M24" i="4"/>
  <c r="K23" i="4"/>
  <c r="L23" i="4" s="1"/>
  <c r="I23" i="4"/>
  <c r="N23" i="4" s="1"/>
  <c r="J23" i="4"/>
  <c r="M23" i="4"/>
  <c r="M29" i="4"/>
  <c r="K29" i="4"/>
  <c r="L29" i="4" s="1"/>
  <c r="J29" i="4"/>
  <c r="I29" i="4"/>
  <c r="N29" i="4" s="1"/>
  <c r="M13" i="4"/>
  <c r="K13" i="4"/>
  <c r="L13" i="4" s="1"/>
  <c r="J13" i="4"/>
  <c r="I13" i="4"/>
  <c r="N13" i="4" s="1"/>
  <c r="K16" i="4"/>
  <c r="L16" i="4" s="1"/>
  <c r="J16" i="4"/>
  <c r="I16" i="4"/>
  <c r="N16" i="4" s="1"/>
  <c r="M16" i="4"/>
  <c r="Q25" i="2"/>
  <c r="S25" i="2"/>
  <c r="E26" i="4" s="1"/>
  <c r="H26" i="4" s="1"/>
  <c r="I11" i="4"/>
  <c r="N11" i="4" s="1"/>
  <c r="J11" i="4"/>
  <c r="M11" i="4"/>
  <c r="K11" i="4"/>
  <c r="L11" i="4" s="1"/>
  <c r="Q14" i="2"/>
  <c r="S14" i="2" s="1"/>
  <c r="E15" i="4" s="1"/>
  <c r="H15" i="4" s="1"/>
  <c r="K25" i="4"/>
  <c r="L25" i="4" s="1"/>
  <c r="J25" i="4"/>
  <c r="I25" i="4"/>
  <c r="N25" i="4" s="1"/>
  <c r="M25" i="4"/>
  <c r="M21" i="4"/>
  <c r="K21" i="4"/>
  <c r="L21" i="4" s="1"/>
  <c r="J21" i="4"/>
  <c r="I21" i="4"/>
  <c r="N21" i="4" s="1"/>
  <c r="H30" i="4"/>
  <c r="M31" i="4"/>
  <c r="K31" i="4"/>
  <c r="L31" i="4" s="1"/>
  <c r="J31" i="4"/>
  <c r="I31" i="4"/>
  <c r="N31" i="4" s="1"/>
  <c r="Q27" i="2"/>
  <c r="S27" i="2" s="1"/>
  <c r="E28" i="4" s="1"/>
  <c r="H28" i="4" s="1"/>
  <c r="J9" i="4"/>
  <c r="I9" i="4"/>
  <c r="N9" i="4" s="1"/>
  <c r="K9" i="4"/>
  <c r="L9" i="4" s="1"/>
  <c r="M9" i="4"/>
  <c r="Q19" i="2"/>
  <c r="S19" i="2" s="1"/>
  <c r="E20" i="4" s="1"/>
  <c r="H20" i="4" s="1"/>
  <c r="Q5" i="2"/>
  <c r="S5" i="2"/>
  <c r="H17" i="4"/>
  <c r="H19" i="4"/>
  <c r="Q21" i="2"/>
  <c r="S21" i="2"/>
  <c r="E22" i="4" s="1"/>
  <c r="H22" i="4" s="1"/>
  <c r="Q9" i="2"/>
  <c r="S9" i="2" s="1"/>
  <c r="E10" i="4" s="1"/>
  <c r="H10" i="4" s="1"/>
  <c r="H18" i="4"/>
  <c r="Q6" i="2"/>
  <c r="S6" i="2" s="1"/>
  <c r="E7" i="4" s="1"/>
  <c r="H7" i="4" s="1"/>
  <c r="Q11" i="2"/>
  <c r="S11" i="2"/>
  <c r="E12" i="4" s="1"/>
  <c r="H12" i="4" s="1"/>
  <c r="Q7" i="2"/>
  <c r="S7" i="2" s="1"/>
  <c r="E8" i="4" s="1"/>
  <c r="H8" i="4" s="1"/>
  <c r="Q13" i="2"/>
  <c r="S13" i="2" s="1"/>
  <c r="E14" i="4" s="1"/>
  <c r="H14" i="4" s="1"/>
  <c r="K8" i="4" l="1"/>
  <c r="L8" i="4" s="1"/>
  <c r="J8" i="4"/>
  <c r="I8" i="4"/>
  <c r="N8" i="4" s="1"/>
  <c r="M8" i="4"/>
  <c r="K15" i="4"/>
  <c r="L15" i="4" s="1"/>
  <c r="I15" i="4"/>
  <c r="N15" i="4" s="1"/>
  <c r="J15" i="4"/>
  <c r="M15" i="4"/>
  <c r="M14" i="4"/>
  <c r="J14" i="4"/>
  <c r="K14" i="4"/>
  <c r="L14" i="4" s="1"/>
  <c r="I14" i="4"/>
  <c r="N14" i="4" s="1"/>
  <c r="M20" i="4"/>
  <c r="I20" i="4"/>
  <c r="N20" i="4" s="1"/>
  <c r="K20" i="4"/>
  <c r="L20" i="4" s="1"/>
  <c r="J20" i="4"/>
  <c r="M28" i="4"/>
  <c r="K28" i="4"/>
  <c r="L28" i="4" s="1"/>
  <c r="J28" i="4"/>
  <c r="I28" i="4"/>
  <c r="N28" i="4" s="1"/>
  <c r="K7" i="4"/>
  <c r="L7" i="4" s="1"/>
  <c r="J7" i="4"/>
  <c r="M7" i="4"/>
  <c r="I7" i="4"/>
  <c r="N7" i="4" s="1"/>
  <c r="I10" i="4"/>
  <c r="N10" i="4" s="1"/>
  <c r="M10" i="4"/>
  <c r="K10" i="4"/>
  <c r="L10" i="4" s="1"/>
  <c r="J10" i="4"/>
  <c r="C5" i="6"/>
  <c r="E6" i="4"/>
  <c r="H6" i="4" s="1"/>
  <c r="C11" i="5"/>
  <c r="J17" i="4"/>
  <c r="I17" i="4"/>
  <c r="N17" i="4" s="1"/>
  <c r="M17" i="4"/>
  <c r="K17" i="4"/>
  <c r="L17" i="4" s="1"/>
  <c r="I18" i="4"/>
  <c r="N18" i="4" s="1"/>
  <c r="M18" i="4"/>
  <c r="K18" i="4"/>
  <c r="L18" i="4" s="1"/>
  <c r="J18" i="4"/>
  <c r="M22" i="4"/>
  <c r="K22" i="4"/>
  <c r="L22" i="4" s="1"/>
  <c r="J22" i="4"/>
  <c r="I22" i="4"/>
  <c r="N22" i="4" s="1"/>
  <c r="J26" i="4"/>
  <c r="I26" i="4"/>
  <c r="N26" i="4" s="1"/>
  <c r="M26" i="4"/>
  <c r="K26" i="4"/>
  <c r="L26" i="4" s="1"/>
  <c r="M12" i="4"/>
  <c r="K12" i="4"/>
  <c r="L12" i="4" s="1"/>
  <c r="J12" i="4"/>
  <c r="I12" i="4"/>
  <c r="N12" i="4" s="1"/>
  <c r="M19" i="4"/>
  <c r="K19" i="4"/>
  <c r="L19" i="4" s="1"/>
  <c r="J19" i="4"/>
  <c r="I19" i="4"/>
  <c r="N19" i="4" s="1"/>
  <c r="M30" i="4"/>
  <c r="J30" i="4"/>
  <c r="K30" i="4"/>
  <c r="L30" i="4" s="1"/>
  <c r="I30" i="4"/>
  <c r="N30" i="4" s="1"/>
  <c r="C12" i="5" l="1"/>
  <c r="M6" i="4"/>
  <c r="K6" i="4"/>
  <c r="L6" i="4" s="1"/>
  <c r="J6" i="4"/>
  <c r="I6" i="4"/>
  <c r="N6" i="4" s="1"/>
  <c r="C8" i="5"/>
  <c r="D11" i="5" s="1"/>
  <c r="C14" i="5" l="1"/>
  <c r="D18" i="5"/>
  <c r="D20" i="5"/>
  <c r="D19" i="5"/>
  <c r="D17" i="5"/>
  <c r="D21" i="5"/>
  <c r="D12" i="5"/>
  <c r="C23" i="5" l="1"/>
  <c r="D14" i="5"/>
  <c r="C25" i="5" l="1"/>
  <c r="C26" i="5" s="1"/>
  <c r="D26" i="5" s="1"/>
  <c r="D23" i="5"/>
</calcChain>
</file>

<file path=xl/sharedStrings.xml><?xml version="1.0" encoding="utf-8"?>
<sst xmlns="http://schemas.openxmlformats.org/spreadsheetml/2006/main" count="364" uniqueCount="245">
  <si>
    <t>SA BREWERIES KENYA LTD - KEY ASSUMPTIONS</t>
  </si>
  <si>
    <t>FOREIGN EXCHANGE &amp; GENERAL</t>
  </si>
  <si>
    <t>Parameter</t>
  </si>
  <si>
    <t>Value</t>
  </si>
  <si>
    <t>Unit</t>
  </si>
  <si>
    <t>Notes</t>
  </si>
  <si>
    <t>ZAR / KES Exchange Rate</t>
  </si>
  <si>
    <t>Adjust to current spot rate</t>
  </si>
  <si>
    <t>USD / KES Exchange Rate</t>
  </si>
  <si>
    <t>For USD-denominated freight</t>
  </si>
  <si>
    <t>Monthly Volume (cases of 12)</t>
  </si>
  <si>
    <t>cases</t>
  </si>
  <si>
    <t>5,000+ target</t>
  </si>
  <si>
    <t>Bottles per Case</t>
  </si>
  <si>
    <t>bottles</t>
  </si>
  <si>
    <t>Standard wine case</t>
  </si>
  <si>
    <t>Monthly Bottles</t>
  </si>
  <si>
    <t>Formula</t>
  </si>
  <si>
    <t>Standard Bottle Size</t>
  </si>
  <si>
    <t>litres</t>
  </si>
  <si>
    <t>750ml</t>
  </si>
  <si>
    <t>KENYAN IMPORT TAX STRUCTURE</t>
  </si>
  <si>
    <t>Tax / Levy</t>
  </si>
  <si>
    <t>Rate</t>
  </si>
  <si>
    <t>Basis</t>
  </si>
  <si>
    <t>Import Duty</t>
  </si>
  <si>
    <t>CIF Value</t>
  </si>
  <si>
    <t>EAC Common External Tariff for wine (HS 2204)</t>
  </si>
  <si>
    <t>Excise Duty</t>
  </si>
  <si>
    <t>KES per cl of pure alcohol</t>
  </si>
  <si>
    <t>ABV-based method per Tax Laws Amendment Act 2024</t>
  </si>
  <si>
    <t>Import Declaration Fee (IDF)</t>
  </si>
  <si>
    <t>3.5% of CIF</t>
  </si>
  <si>
    <t>Railway Development Levy (RDL)</t>
  </si>
  <si>
    <t>2% of CIF</t>
  </si>
  <si>
    <t>VAT</t>
  </si>
  <si>
    <t>CIF + Duties + Levies</t>
  </si>
  <si>
    <t>Standard 16% VAT</t>
  </si>
  <si>
    <t>FREIGHT &amp; LOGISTICS (per case of 12)</t>
  </si>
  <si>
    <t>Cost Item</t>
  </si>
  <si>
    <t>Amount (KES)</t>
  </si>
  <si>
    <t>Sea Freight (Durban to Mombasa)</t>
  </si>
  <si>
    <t>per case</t>
  </si>
  <si>
    <t>20ft container ~1,200 cases</t>
  </si>
  <si>
    <t>Air Freight (Johannesburg to JKIA)</t>
  </si>
  <si>
    <t>For premium/urgent shipments</t>
  </si>
  <si>
    <t>Marine Insurance</t>
  </si>
  <si>
    <t>% of FOB+Freight</t>
  </si>
  <si>
    <t>1.5% standard</t>
  </si>
  <si>
    <t>Clearing &amp; Forwarding Agent</t>
  </si>
  <si>
    <t>Customs broker fees</t>
  </si>
  <si>
    <t>Port Charges / Handling</t>
  </si>
  <si>
    <t>Mombasa or JKIA handling</t>
  </si>
  <si>
    <t>Inland Transport (Mombasa to Nairobi)</t>
  </si>
  <si>
    <t>By SGR or road</t>
  </si>
  <si>
    <t>KEBS Inspection Fee</t>
  </si>
  <si>
    <t>Standards compliance</t>
  </si>
  <si>
    <t>Corporate Income Tax Rate</t>
  </si>
  <si>
    <t>KRA corporate tax rate</t>
  </si>
  <si>
    <t>PRODUCT CATALOG WITH LANDED COST CALCULATION (PER BOTTLE)</t>
  </si>
  <si>
    <t>#</t>
  </si>
  <si>
    <t>Wine Name</t>
  </si>
  <si>
    <t>Type</t>
  </si>
  <si>
    <t>ABV %</t>
  </si>
  <si>
    <t>Segment</t>
  </si>
  <si>
    <t>FOB/Bottle (ZAR)</t>
  </si>
  <si>
    <t>FOB/Bottle (KES)</t>
  </si>
  <si>
    <t>Freight/Bottle (KES)</t>
  </si>
  <si>
    <t>Insurance (KES)</t>
  </si>
  <si>
    <t>CIF/Bottle (KES)</t>
  </si>
  <si>
    <t>Import Duty (KES)</t>
  </si>
  <si>
    <t>Excise Duty (KES)</t>
  </si>
  <si>
    <t>IDF (KES)</t>
  </si>
  <si>
    <t>RDL (KES)</t>
  </si>
  <si>
    <t>Total Duties (KES)</t>
  </si>
  <si>
    <t>VAT (KES)</t>
  </si>
  <si>
    <t>Clearing+Handling (KES)</t>
  </si>
  <si>
    <t>LANDED COST (KES)</t>
  </si>
  <si>
    <t>Cape Valley Dry Red</t>
  </si>
  <si>
    <t>Red</t>
  </si>
  <si>
    <t>Budget</t>
  </si>
  <si>
    <t>Cape Valley Sauvignon Blanc</t>
  </si>
  <si>
    <t>White</t>
  </si>
  <si>
    <t>Cape Valley Rose</t>
  </si>
  <si>
    <t>Rose</t>
  </si>
  <si>
    <t>Vineyard Select Shiraz</t>
  </si>
  <si>
    <t>Vineyard Select Chenin Blanc</t>
  </si>
  <si>
    <t>Vineyard Select Dry Rose</t>
  </si>
  <si>
    <t>Harvest Moon Pinotage</t>
  </si>
  <si>
    <t>Harvest Moon Chardonnay</t>
  </si>
  <si>
    <t>Stellenbosch Hills Cabernet Sauvignon</t>
  </si>
  <si>
    <t>Mid</t>
  </si>
  <si>
    <t>Stellenbosch Hills Merlot</t>
  </si>
  <si>
    <t>Robertson Valley Sauvignon Blanc</t>
  </si>
  <si>
    <t>Franschhoek Cellars Semillon</t>
  </si>
  <si>
    <t>Paarl Heights Pinotage Reserve</t>
  </si>
  <si>
    <t>Breede River Rose</t>
  </si>
  <si>
    <t>Constantia Glen Riesling</t>
  </si>
  <si>
    <t>Durbanville Shiraz</t>
  </si>
  <si>
    <t>Elgin Valley Pinot Noir</t>
  </si>
  <si>
    <t>Kanonkop Estate Pinotage</t>
  </si>
  <si>
    <t>Premium</t>
  </si>
  <si>
    <t>Meerlust Rubicon</t>
  </si>
  <si>
    <t>Hamilton Russell Pinot Noir</t>
  </si>
  <si>
    <t>Klein Constantia Vin de Constance</t>
  </si>
  <si>
    <t>Boekenhoutskloof Syrah</t>
  </si>
  <si>
    <t>Graham Beck Brut Rose MCC</t>
  </si>
  <si>
    <t>Sparkling</t>
  </si>
  <si>
    <t>Simonsig Kaapse Vonkel</t>
  </si>
  <si>
    <t>Villiera Tradition Brut MCC</t>
  </si>
  <si>
    <t>Haute Cabriere Chardonnay Pinot Noir</t>
  </si>
  <si>
    <t>MONTHLY OPERATING EXPENSES</t>
  </si>
  <si>
    <t>Expense Item</t>
  </si>
  <si>
    <t>Monthly (KES)</t>
  </si>
  <si>
    <t>Per Bottle (KES)</t>
  </si>
  <si>
    <t>WAREHOUSE &amp; STORAGE</t>
  </si>
  <si>
    <t>Warehouse Rent</t>
  </si>
  <si>
    <t>Temperature-controlled wine storage</t>
  </si>
  <si>
    <t>Warehouse Staff (6)</t>
  </si>
  <si>
    <t>Avg KES 60,000/month each</t>
  </si>
  <si>
    <t>Utilities (power, water)</t>
  </si>
  <si>
    <t>Climate control is critical for wine</t>
  </si>
  <si>
    <t>Warehouse Insurance</t>
  </si>
  <si>
    <t>Stock Shrinkage / Breakage</t>
  </si>
  <si>
    <t>1% of average inventory value</t>
  </si>
  <si>
    <t>Subtotal: Warehouse</t>
  </si>
  <si>
    <t>SALES &amp; DISTRIBUTION</t>
  </si>
  <si>
    <t>Sales Team (8 reps + 2 managers)</t>
  </si>
  <si>
    <t>Salaries + commissions</t>
  </si>
  <si>
    <t>Vehicle Fleet (5 delivery vans)</t>
  </si>
  <si>
    <t>Fuel, maintenance, insurance</t>
  </si>
  <si>
    <t>Vehicle Depreciation</t>
  </si>
  <si>
    <t>Straight-line on delivery fleet</t>
  </si>
  <si>
    <t>Cold Chain / Refrigerated Transport</t>
  </si>
  <si>
    <t>Temperature-controlled delivery</t>
  </si>
  <si>
    <t>Subtotal: Sales &amp; Distribution</t>
  </si>
  <si>
    <t>ADMINISTRATION</t>
  </si>
  <si>
    <t>Management (MD, Finance, Operations)</t>
  </si>
  <si>
    <t>3 senior staff</t>
  </si>
  <si>
    <t>Office Rent</t>
  </si>
  <si>
    <t>Office Staff (4)</t>
  </si>
  <si>
    <t>Admin, accounts, compliance</t>
  </si>
  <si>
    <t>IT Systems / ERP</t>
  </si>
  <si>
    <t>Inventory management, eTIMS</t>
  </si>
  <si>
    <t>Legal &amp; Compliance</t>
  </si>
  <si>
    <t>Liquor licenses, KEBS, KRA</t>
  </si>
  <si>
    <t>Audit &amp; Accounting</t>
  </si>
  <si>
    <t>Subtotal: Administration</t>
  </si>
  <si>
    <t>MARKETING &amp; TRADE</t>
  </si>
  <si>
    <t>Trade Promotions</t>
  </si>
  <si>
    <t>Retailer incentives, tastings</t>
  </si>
  <si>
    <t>Brand Marketing</t>
  </si>
  <si>
    <t>Events, POS materials</t>
  </si>
  <si>
    <t>Wine Sampling / Tasting Events</t>
  </si>
  <si>
    <t>Lodge and hotel tastings</t>
  </si>
  <si>
    <t>Subtotal: Marketing</t>
  </si>
  <si>
    <t>TOTAL OPERATING EXPENSES</t>
  </si>
  <si>
    <t>PRICING MODEL - BY SKU AND CHANNEL</t>
  </si>
  <si>
    <t>OpEx per Bottle (from Operating Expenses):</t>
  </si>
  <si>
    <t>Landed Cost (KES)</t>
  </si>
  <si>
    <t>OpEx Alloc. (KES)</t>
  </si>
  <si>
    <t>Margin %</t>
  </si>
  <si>
    <t>Supermarket Price (KES)</t>
  </si>
  <si>
    <t>Lodge/Hotel Price (KES)</t>
  </si>
  <si>
    <t>Suggested Retail (KES)</t>
  </si>
  <si>
    <t>Gross Profit (KES)</t>
  </si>
  <si>
    <t>GP %</t>
  </si>
  <si>
    <t>Case Price - Supermarket (KES)</t>
  </si>
  <si>
    <t>Case Price - Lodge (KES)</t>
  </si>
  <si>
    <t>PROJECTED MONTHLY PROFIT &amp; LOSS</t>
  </si>
  <si>
    <t>Line Item</t>
  </si>
  <si>
    <t>% of Revenue</t>
  </si>
  <si>
    <t>Cases Sold</t>
  </si>
  <si>
    <t>Bottles Sold</t>
  </si>
  <si>
    <t>Revenue (Avg Supermarket Price x Bottles)</t>
  </si>
  <si>
    <t>COST OF GOODS SOLD</t>
  </si>
  <si>
    <t>TOTAL COGS</t>
  </si>
  <si>
    <t>GROSS PROFIT</t>
  </si>
  <si>
    <t>OPERATING EXPENSES</t>
  </si>
  <si>
    <t>OPERATING PROFIT (EBIT)</t>
  </si>
  <si>
    <t>Corporate Tax (30%)</t>
  </si>
  <si>
    <t>NET PROFIT AFTER TAX</t>
  </si>
  <si>
    <t>SENSITIVITY: EXCHANGE RATE IMPACT ON LANDED COST</t>
  </si>
  <si>
    <t>Base ZAR/KES Rate:</t>
  </si>
  <si>
    <t>Avg Landed Cost at Base Rate:</t>
  </si>
  <si>
    <t>ZAR/KES Rate</t>
  </si>
  <si>
    <t>Avg FOB in KES (Budget wine, ZAR 30)</t>
  </si>
  <si>
    <t>Avg FOB in KES (Mid wine, ZAR 60)</t>
  </si>
  <si>
    <t>Avg FOB in KES (Premium wine, ZAR 180)</t>
  </si>
  <si>
    <t>SENSITIVITY: VOLUME IMPACT ON OPEX PER BOTTLE</t>
  </si>
  <si>
    <t>Monthly Cases</t>
  </si>
  <si>
    <t>Total OpEx (KES)</t>
  </si>
  <si>
    <t>OpEx per Bottle (KES)</t>
  </si>
  <si>
    <t>Avg Landed Cost per Bottle x Bottles Sold</t>
  </si>
  <si>
    <t>SA BREWERIES KENYA LTD — SOUTH AFRICAN WINE IMPORT MODEL</t>
  </si>
  <si>
    <t>Notes, methodology, and user guide</t>
  </si>
  <si>
    <t>PURPOSE</t>
  </si>
  <si>
    <t>This model evaluates the unit economics and monthly profitability of importing South African wine into Kenya for distribution across supermarkets, lodges, and hotels. It builds bottle-level landed cost from FOB through Kenyan customs duties, layers operating expenses, and applies channel-specific margins to project a monthly P&amp;L.</t>
  </si>
  <si>
    <t>WHAT THE MODEL DEMONSTRATES</t>
  </si>
  <si>
    <t>1. Full landed-cost build-up per SKU — FOB (ZAR) → CIF (KES) → Import Duty + Excise + IDF + RDL → VAT → Clearing &amp; Handling, for 26 wines across Budget / Mid / Premium tiers.</t>
  </si>
  <si>
    <t>2. ABV-based excise duty calculation per the Kenya Tax Laws Amendment Act 2024 (KES 22.50 per cl of pure alcohol), correctly differentiating wines by alcohol strength.</t>
  </si>
  <si>
    <t>3. Channel pricing logic — supermarket, lodge/hotel, and suggested retail prices derived from landed cost + OpEx allocation + tier-specific margin (25% Budget / 30% Mid / 35% Premium).</t>
  </si>
  <si>
    <t>4. Monthly P&amp;L at 5,500 cases (66,000 bottles) showing revenue, COGS, gross profit, operating expenses, EBIT, and net profit after corporate tax.</t>
  </si>
  <si>
    <t>5. Sensitivity analysis on the two highest-leverage variables: ZAR/KES exchange rate (drives landed cost) and monthly volume (drives OpEx absorption per bottle).</t>
  </si>
  <si>
    <t>HOW TO USE THE MODEL</t>
  </si>
  <si>
    <t>Step 1 — Update assumptions</t>
  </si>
  <si>
    <t>Open the Assumptions sheet and refresh the ZAR/KES and USD/KES spot rates, target monthly volume, and any duty/levy rate changes. All downstream sheets recalculate automatically.</t>
  </si>
  <si>
    <t>Step 2 — Review per-SKU landed cost</t>
  </si>
  <si>
    <t>Product Catalog &amp; Landed Cost shows each wine's full cost build-up. Adjust FOB prices (ZAR) or ABV % per wine; excise duty and VAT recalculate automatically.</t>
  </si>
  <si>
    <t>Step 3 — Set channel margins</t>
  </si>
  <si>
    <t>Pricing Model assigns target margin % by segment. Edit margin assumptions to test different pricing strategies; supermarket / lodge / retail prices flow through.</t>
  </si>
  <si>
    <t>Step 4 — Tune operating expenses</t>
  </si>
  <si>
    <t>Operating Expenses lists every line item (warehouse, sales &amp; distribution, admin, marketing). Edit values to reflect the actual cost base; per-bottle allocation updates automatically.</t>
  </si>
  <si>
    <t>Step 5 — Read the P&amp;L</t>
  </si>
  <si>
    <t>Monthly P&amp;L shows the full income statement at the assumed volume. Use it as the headline output for investor or board discussions.</t>
  </si>
  <si>
    <t>Step 6 — Stress-test the result</t>
  </si>
  <si>
    <t>Sensitivity Analysis shows how landed cost responds to FX swings (6.5–8.0 ZAR/KES) and how OpEx-per-bottle scales with volume (3,000–10,000 cases).</t>
  </si>
  <si>
    <t>SHEET MAP</t>
  </si>
  <si>
    <t>Sheet</t>
  </si>
  <si>
    <t>Purpose</t>
  </si>
  <si>
    <t>Assumptions</t>
  </si>
  <si>
    <t>FX rates, volume, Kenyan tax structure, freight &amp; logistics rates</t>
  </si>
  <si>
    <t>Product Catalog &amp; Landed Cost</t>
  </si>
  <si>
    <t>26 SKUs with full duty/VAT build-up to landed cost per bottle</t>
  </si>
  <si>
    <t>Operating Expenses</t>
  </si>
  <si>
    <t>Monthly OpEx by category and per-bottle allocation</t>
  </si>
  <si>
    <t>Pricing Model</t>
  </si>
  <si>
    <t>Channel pricing by SKU — supermarket, lodge/hotel, retail, gross profit</t>
  </si>
  <si>
    <t>Monthly P&amp;L</t>
  </si>
  <si>
    <t>Projected income statement at assumed volume</t>
  </si>
  <si>
    <t>Sensitivity Analysis</t>
  </si>
  <si>
    <t>FX and volume stress tests</t>
  </si>
  <si>
    <t>KEY ASSUMPTIONS TO VALIDATE</t>
  </si>
  <si>
    <t>• ZAR/KES spot rate — landed cost is highly sensitive (see Sensitivity sheet); refresh before any pricing decision.</t>
  </si>
  <si>
    <t>• Excise duty rate — currently KES 22.50/cl pure alcohol per 2024 Tax Laws Amendment; verify against latest KRA notice.</t>
  </si>
  <si>
    <t>• Monthly volume of 5,500 cases — the model assumes full absorption of fixed OpEx; below ~3,000 cases per-bottle OpEx rises sharply.</t>
  </si>
  <si>
    <t>• Margin tiers (25% / 30% / 35%) — these are target margins; actual realisation depends on negotiated trade terms with supermarkets and HORECA.</t>
  </si>
  <si>
    <t>• Freight assumptions are sea-freight defaults; switch to air-freight rates in Assumptions for premium/urgent shipments.</t>
  </si>
  <si>
    <t>COLOUR CODE</t>
  </si>
  <si>
    <t>Blue text</t>
  </si>
  <si>
    <t>Hardcoded inputs / assumptions you can change</t>
  </si>
  <si>
    <t>Black text</t>
  </si>
  <si>
    <t>Formulas and calculated values</t>
  </si>
  <si>
    <t>Green text</t>
  </si>
  <si>
    <t>Cross-sheet links pulling from another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</si>
</sst>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1"/>
    </font>
    <font>
      <b/>
      <sz val="13"/>
      <color rgb="FF000000"/>
      <name val="Arial"/>
      <charset val="1"/>
    </font>
    <font>
      <b/>
      <sz val="11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10"/>
      <color rgb="FF008000"/>
      <name val="Arial"/>
      <charset val="1"/>
    </font>
    <font>
      <b/>
      <sz val="16"/>
      <color rgb="FFFFFFFF"/>
      <name val="Calibri"/>
      <family val="2"/>
      <charset val="1"/>
    </font>
    <font>
      <i/>
      <sz val="11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8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2" fontId="5" fillId="3" borderId="1" xfId="0" applyNumberFormat="1" applyFont="1" applyFill="1" applyBorder="1"/>
    <xf numFmtId="0" fontId="6" fillId="0" borderId="1" xfId="0" applyFont="1" applyBorder="1"/>
    <xf numFmtId="3" fontId="5" fillId="3" borderId="1" xfId="0" applyNumberFormat="1" applyFont="1" applyFill="1" applyBorder="1"/>
    <xf numFmtId="3" fontId="5" fillId="0" borderId="1" xfId="0" applyNumberFormat="1" applyFont="1" applyBorder="1"/>
    <xf numFmtId="2" fontId="5" fillId="0" borderId="1" xfId="0" applyNumberFormat="1" applyFont="1" applyBorder="1"/>
    <xf numFmtId="3" fontId="4" fillId="0" borderId="1" xfId="0" applyNumberFormat="1" applyFont="1" applyBorder="1"/>
    <xf numFmtId="164" fontId="5" fillId="0" borderId="1" xfId="0" applyNumberFormat="1" applyFont="1" applyBorder="1"/>
    <xf numFmtId="4" fontId="5" fillId="0" borderId="1" xfId="0" applyNumberFormat="1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/>
    <xf numFmtId="4" fontId="7" fillId="0" borderId="1" xfId="0" applyNumberFormat="1" applyFont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5" fillId="4" borderId="1" xfId="0" applyNumberFormat="1" applyFont="1" applyFill="1" applyBorder="1"/>
    <xf numFmtId="4" fontId="5" fillId="4" borderId="1" xfId="0" applyNumberFormat="1" applyFont="1" applyFill="1" applyBorder="1"/>
    <xf numFmtId="4" fontId="4" fillId="4" borderId="1" xfId="0" applyNumberFormat="1" applyFont="1" applyFill="1" applyBorder="1"/>
    <xf numFmtId="4" fontId="7" fillId="4" borderId="1" xfId="0" applyNumberFormat="1" applyFont="1" applyFill="1" applyBorder="1"/>
    <xf numFmtId="0" fontId="6" fillId="0" borderId="0" xfId="0" applyFont="1"/>
    <xf numFmtId="0" fontId="7" fillId="5" borderId="1" xfId="0" applyFont="1" applyFill="1" applyBorder="1"/>
    <xf numFmtId="3" fontId="7" fillId="5" borderId="1" xfId="0" applyNumberFormat="1" applyFont="1" applyFill="1" applyBorder="1"/>
    <xf numFmtId="4" fontId="7" fillId="5" borderId="1" xfId="0" applyNumberFormat="1" applyFont="1" applyFill="1" applyBorder="1"/>
    <xf numFmtId="0" fontId="6" fillId="5" borderId="1" xfId="0" applyFont="1" applyFill="1" applyBorder="1"/>
    <xf numFmtId="0" fontId="7" fillId="6" borderId="1" xfId="0" applyFont="1" applyFill="1" applyBorder="1"/>
    <xf numFmtId="3" fontId="7" fillId="6" borderId="1" xfId="0" applyNumberFormat="1" applyFont="1" applyFill="1" applyBorder="1"/>
    <xf numFmtId="4" fontId="7" fillId="6" borderId="1" xfId="0" applyNumberFormat="1" applyFont="1" applyFill="1" applyBorder="1"/>
    <xf numFmtId="0" fontId="0" fillId="6" borderId="1" xfId="0" applyFill="1" applyBorder="1"/>
    <xf numFmtId="0" fontId="4" fillId="0" borderId="0" xfId="0" applyFont="1"/>
    <xf numFmtId="4" fontId="8" fillId="0" borderId="0" xfId="0" applyNumberFormat="1" applyFont="1"/>
    <xf numFmtId="4" fontId="9" fillId="0" borderId="1" xfId="0" applyNumberFormat="1" applyFont="1" applyBorder="1"/>
    <xf numFmtId="164" fontId="5" fillId="3" borderId="1" xfId="0" applyNumberFormat="1" applyFont="1" applyFill="1" applyBorder="1"/>
    <xf numFmtId="164" fontId="4" fillId="0" borderId="1" xfId="0" applyNumberFormat="1" applyFont="1" applyBorder="1"/>
    <xf numFmtId="4" fontId="9" fillId="4" borderId="1" xfId="0" applyNumberFormat="1" applyFont="1" applyFill="1" applyBorder="1"/>
    <xf numFmtId="164" fontId="4" fillId="4" borderId="1" xfId="0" applyNumberFormat="1" applyFont="1" applyFill="1" applyBorder="1"/>
    <xf numFmtId="3" fontId="4" fillId="4" borderId="1" xfId="0" applyNumberFormat="1" applyFont="1" applyFill="1" applyBorder="1"/>
    <xf numFmtId="0" fontId="0" fillId="0" borderId="1" xfId="0" applyBorder="1"/>
    <xf numFmtId="164" fontId="4" fillId="5" borderId="1" xfId="0" applyNumberFormat="1" applyFont="1" applyFill="1" applyBorder="1"/>
    <xf numFmtId="164" fontId="7" fillId="5" borderId="1" xfId="0" applyNumberFormat="1" applyFont="1" applyFill="1" applyBorder="1"/>
    <xf numFmtId="164" fontId="7" fillId="6" borderId="1" xfId="0" applyNumberFormat="1" applyFont="1" applyFill="1" applyBorder="1"/>
    <xf numFmtId="3" fontId="9" fillId="0" borderId="1" xfId="0" applyNumberFormat="1" applyFont="1" applyBorder="1"/>
    <xf numFmtId="0" fontId="7" fillId="7" borderId="1" xfId="0" applyFont="1" applyFill="1" applyBorder="1"/>
    <xf numFmtId="3" fontId="8" fillId="7" borderId="1" xfId="0" applyNumberFormat="1" applyFont="1" applyFill="1" applyBorder="1"/>
    <xf numFmtId="164" fontId="7" fillId="7" borderId="1" xfId="0" applyNumberFormat="1" applyFont="1" applyFill="1" applyBorder="1"/>
    <xf numFmtId="0" fontId="7" fillId="6" borderId="2" xfId="0" applyFont="1" applyFill="1" applyBorder="1"/>
    <xf numFmtId="3" fontId="7" fillId="6" borderId="2" xfId="0" applyNumberFormat="1" applyFont="1" applyFill="1" applyBorder="1"/>
    <xf numFmtId="164" fontId="7" fillId="6" borderId="2" xfId="0" applyNumberFormat="1" applyFont="1" applyFill="1" applyBorder="1"/>
    <xf numFmtId="2" fontId="7" fillId="0" borderId="0" xfId="0" applyNumberFormat="1" applyFont="1"/>
    <xf numFmtId="4" fontId="7" fillId="0" borderId="0" xfId="0" applyNumberFormat="1" applyFont="1"/>
    <xf numFmtId="0" fontId="3" fillId="2" borderId="0" xfId="0" applyFont="1" applyFill="1"/>
    <xf numFmtId="2" fontId="3" fillId="2" borderId="0" xfId="0" applyNumberFormat="1" applyFont="1" applyFill="1"/>
    <xf numFmtId="3" fontId="3" fillId="2" borderId="0" xfId="0" applyNumberFormat="1" applyFont="1" applyFill="1"/>
    <xf numFmtId="3" fontId="0" fillId="0" borderId="1" xfId="0" applyNumberFormat="1" applyBorder="1"/>
    <xf numFmtId="0" fontId="1" fillId="0" borderId="0" xfId="0" applyFont="1"/>
    <xf numFmtId="0" fontId="0" fillId="0" borderId="0" xfId="0" applyAlignment="1">
      <alignment vertical="top" wrapText="1"/>
    </xf>
    <xf numFmtId="0" fontId="13" fillId="10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12" fillId="9" borderId="0" xfId="0" applyFont="1" applyFill="1" applyAlignment="1">
      <alignment vertical="top" wrapText="1"/>
    </xf>
    <xf numFmtId="0" fontId="12" fillId="11" borderId="0" xfId="0" applyFont="1" applyFill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8C8F24-2FFC-4B59-A648-3C1592583B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fd538e0-109a-4d4e-9f31-eae43cba216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572A-A5AD-4D2B-8D00-D4E078411366}">
  <dimension ref="B2:C48"/>
  <sheetViews>
    <sheetView tabSelected="1" workbookViewId="0">
      <selection activeCell="H6" sqref="H6"/>
    </sheetView>
  </sheetViews>
  <sheetFormatPr defaultRowHeight="15" x14ac:dyDescent="0.25"/>
  <cols>
    <col min="1" max="1" width="3.85546875" customWidth="1"/>
    <col min="2" max="2" width="61" customWidth="1"/>
    <col min="3" max="3" width="91.42578125" customWidth="1"/>
  </cols>
  <sheetData>
    <row r="2" spans="2:3" ht="27.95" customHeight="1" x14ac:dyDescent="0.25">
      <c r="B2" s="61" t="s">
        <v>194</v>
      </c>
      <c r="C2" s="61"/>
    </row>
    <row r="3" spans="2:3" x14ac:dyDescent="0.25">
      <c r="B3" s="62" t="s">
        <v>195</v>
      </c>
      <c r="C3" s="62"/>
    </row>
    <row r="4" spans="2:3" x14ac:dyDescent="0.25">
      <c r="B4" s="56"/>
      <c r="C4" s="56"/>
    </row>
    <row r="5" spans="2:3" ht="15.75" x14ac:dyDescent="0.25">
      <c r="B5" s="63" t="s">
        <v>196</v>
      </c>
      <c r="C5" s="63"/>
    </row>
    <row r="6" spans="2:3" ht="90" customHeight="1" x14ac:dyDescent="0.25">
      <c r="B6" s="66" t="s">
        <v>197</v>
      </c>
      <c r="C6" s="66"/>
    </row>
    <row r="7" spans="2:3" x14ac:dyDescent="0.25">
      <c r="B7" s="56"/>
      <c r="C7" s="56"/>
    </row>
    <row r="8" spans="2:3" ht="15.75" x14ac:dyDescent="0.25">
      <c r="B8" s="63" t="s">
        <v>198</v>
      </c>
      <c r="C8" s="63"/>
    </row>
    <row r="9" spans="2:3" ht="45" customHeight="1" x14ac:dyDescent="0.25">
      <c r="B9" s="66" t="s">
        <v>199</v>
      </c>
      <c r="C9" s="66"/>
    </row>
    <row r="10" spans="2:3" ht="45" customHeight="1" x14ac:dyDescent="0.25">
      <c r="B10" s="66" t="s">
        <v>200</v>
      </c>
      <c r="C10" s="66"/>
    </row>
    <row r="11" spans="2:3" ht="45" customHeight="1" x14ac:dyDescent="0.25">
      <c r="B11" s="66" t="s">
        <v>201</v>
      </c>
      <c r="C11" s="66"/>
    </row>
    <row r="12" spans="2:3" ht="45" customHeight="1" x14ac:dyDescent="0.25">
      <c r="B12" s="66" t="s">
        <v>202</v>
      </c>
      <c r="C12" s="66"/>
    </row>
    <row r="13" spans="2:3" ht="45" customHeight="1" x14ac:dyDescent="0.25">
      <c r="B13" s="66" t="s">
        <v>203</v>
      </c>
      <c r="C13" s="66"/>
    </row>
    <row r="14" spans="2:3" x14ac:dyDescent="0.25">
      <c r="B14" s="56"/>
      <c r="C14" s="56"/>
    </row>
    <row r="15" spans="2:3" ht="15.75" x14ac:dyDescent="0.25">
      <c r="B15" s="63" t="s">
        <v>204</v>
      </c>
      <c r="C15" s="63"/>
    </row>
    <row r="16" spans="2:3" x14ac:dyDescent="0.25">
      <c r="B16" s="67" t="s">
        <v>205</v>
      </c>
      <c r="C16" s="67"/>
    </row>
    <row r="17" spans="2:3" ht="45" customHeight="1" x14ac:dyDescent="0.25">
      <c r="B17" s="66" t="s">
        <v>206</v>
      </c>
      <c r="C17" s="66"/>
    </row>
    <row r="18" spans="2:3" x14ac:dyDescent="0.25">
      <c r="B18" s="67" t="s">
        <v>207</v>
      </c>
      <c r="C18" s="67"/>
    </row>
    <row r="19" spans="2:3" ht="45" customHeight="1" x14ac:dyDescent="0.25">
      <c r="B19" s="66" t="s">
        <v>208</v>
      </c>
      <c r="C19" s="66"/>
    </row>
    <row r="20" spans="2:3" x14ac:dyDescent="0.25">
      <c r="B20" s="67" t="s">
        <v>209</v>
      </c>
      <c r="C20" s="67"/>
    </row>
    <row r="21" spans="2:3" ht="45" customHeight="1" x14ac:dyDescent="0.25">
      <c r="B21" s="66" t="s">
        <v>210</v>
      </c>
      <c r="C21" s="66"/>
    </row>
    <row r="22" spans="2:3" x14ac:dyDescent="0.25">
      <c r="B22" s="67" t="s">
        <v>211</v>
      </c>
      <c r="C22" s="67"/>
    </row>
    <row r="23" spans="2:3" ht="45" customHeight="1" x14ac:dyDescent="0.25">
      <c r="B23" s="66" t="s">
        <v>212</v>
      </c>
      <c r="C23" s="66"/>
    </row>
    <row r="24" spans="2:3" x14ac:dyDescent="0.25">
      <c r="B24" s="67" t="s">
        <v>213</v>
      </c>
      <c r="C24" s="67"/>
    </row>
    <row r="25" spans="2:3" ht="45" customHeight="1" x14ac:dyDescent="0.25">
      <c r="B25" s="66" t="s">
        <v>214</v>
      </c>
      <c r="C25" s="66"/>
    </row>
    <row r="26" spans="2:3" x14ac:dyDescent="0.25">
      <c r="B26" s="67" t="s">
        <v>215</v>
      </c>
      <c r="C26" s="67"/>
    </row>
    <row r="27" spans="2:3" ht="45" customHeight="1" x14ac:dyDescent="0.25">
      <c r="B27" s="66" t="s">
        <v>216</v>
      </c>
      <c r="C27" s="66"/>
    </row>
    <row r="28" spans="2:3" x14ac:dyDescent="0.25">
      <c r="B28" s="56"/>
      <c r="C28" s="56"/>
    </row>
    <row r="29" spans="2:3" ht="15.75" x14ac:dyDescent="0.25">
      <c r="B29" s="63" t="s">
        <v>217</v>
      </c>
      <c r="C29" s="63"/>
    </row>
    <row r="30" spans="2:3" x14ac:dyDescent="0.25">
      <c r="B30" s="57" t="s">
        <v>218</v>
      </c>
      <c r="C30" s="57" t="s">
        <v>219</v>
      </c>
    </row>
    <row r="31" spans="2:3" x14ac:dyDescent="0.25">
      <c r="B31" s="56" t="s">
        <v>220</v>
      </c>
      <c r="C31" s="56" t="s">
        <v>221</v>
      </c>
    </row>
    <row r="32" spans="2:3" x14ac:dyDescent="0.25">
      <c r="B32" s="56" t="s">
        <v>222</v>
      </c>
      <c r="C32" s="56" t="s">
        <v>223</v>
      </c>
    </row>
    <row r="33" spans="2:3" x14ac:dyDescent="0.25">
      <c r="B33" s="56" t="s">
        <v>224</v>
      </c>
      <c r="C33" s="56" t="s">
        <v>225</v>
      </c>
    </row>
    <row r="34" spans="2:3" x14ac:dyDescent="0.25">
      <c r="B34" s="56" t="s">
        <v>226</v>
      </c>
      <c r="C34" s="56" t="s">
        <v>227</v>
      </c>
    </row>
    <row r="35" spans="2:3" x14ac:dyDescent="0.25">
      <c r="B35" s="56" t="s">
        <v>228</v>
      </c>
      <c r="C35" s="56" t="s">
        <v>229</v>
      </c>
    </row>
    <row r="36" spans="2:3" x14ac:dyDescent="0.25">
      <c r="B36" s="56" t="s">
        <v>230</v>
      </c>
      <c r="C36" s="56" t="s">
        <v>231</v>
      </c>
    </row>
    <row r="37" spans="2:3" x14ac:dyDescent="0.25">
      <c r="B37" s="56"/>
      <c r="C37" s="56"/>
    </row>
    <row r="38" spans="2:3" ht="15.75" x14ac:dyDescent="0.25">
      <c r="B38" s="64" t="s">
        <v>232</v>
      </c>
      <c r="C38" s="64"/>
    </row>
    <row r="39" spans="2:3" ht="30" customHeight="1" x14ac:dyDescent="0.25">
      <c r="B39" s="66" t="s">
        <v>233</v>
      </c>
      <c r="C39" s="66"/>
    </row>
    <row r="40" spans="2:3" ht="30" customHeight="1" x14ac:dyDescent="0.25">
      <c r="B40" s="66" t="s">
        <v>234</v>
      </c>
      <c r="C40" s="66"/>
    </row>
    <row r="41" spans="2:3" ht="45" customHeight="1" x14ac:dyDescent="0.25">
      <c r="B41" s="66" t="s">
        <v>235</v>
      </c>
      <c r="C41" s="66"/>
    </row>
    <row r="42" spans="2:3" ht="45" customHeight="1" x14ac:dyDescent="0.25">
      <c r="B42" s="66" t="s">
        <v>236</v>
      </c>
      <c r="C42" s="66"/>
    </row>
    <row r="43" spans="2:3" ht="30" customHeight="1" x14ac:dyDescent="0.25">
      <c r="B43" s="66" t="s">
        <v>237</v>
      </c>
      <c r="C43" s="66"/>
    </row>
    <row r="44" spans="2:3" x14ac:dyDescent="0.25">
      <c r="B44" s="56"/>
      <c r="C44" s="56"/>
    </row>
    <row r="45" spans="2:3" x14ac:dyDescent="0.25">
      <c r="B45" s="65" t="s">
        <v>238</v>
      </c>
      <c r="C45" s="65"/>
    </row>
    <row r="46" spans="2:3" x14ac:dyDescent="0.25">
      <c r="B46" s="58" t="s">
        <v>239</v>
      </c>
      <c r="C46" s="56" t="s">
        <v>240</v>
      </c>
    </row>
    <row r="47" spans="2:3" x14ac:dyDescent="0.25">
      <c r="B47" s="59" t="s">
        <v>241</v>
      </c>
      <c r="C47" s="56" t="s">
        <v>242</v>
      </c>
    </row>
    <row r="48" spans="2:3" x14ac:dyDescent="0.25">
      <c r="B48" s="60" t="s">
        <v>243</v>
      </c>
      <c r="C48" s="56" t="s">
        <v>244</v>
      </c>
    </row>
  </sheetData>
  <mergeCells count="31">
    <mergeCell ref="B26:C26"/>
    <mergeCell ref="B39:C39"/>
    <mergeCell ref="B40:C40"/>
    <mergeCell ref="B41:C41"/>
    <mergeCell ref="B42:C42"/>
    <mergeCell ref="B43:C43"/>
    <mergeCell ref="B16:C16"/>
    <mergeCell ref="B18:C18"/>
    <mergeCell ref="B20:C20"/>
    <mergeCell ref="B22:C22"/>
    <mergeCell ref="B24:C24"/>
    <mergeCell ref="B38:C38"/>
    <mergeCell ref="B45:C45"/>
    <mergeCell ref="B6:C6"/>
    <mergeCell ref="B9:C9"/>
    <mergeCell ref="B10:C10"/>
    <mergeCell ref="B11:C11"/>
    <mergeCell ref="B12:C12"/>
    <mergeCell ref="B13:C13"/>
    <mergeCell ref="B17:C17"/>
    <mergeCell ref="B19:C19"/>
    <mergeCell ref="B2:C2"/>
    <mergeCell ref="B3:C3"/>
    <mergeCell ref="B5:C5"/>
    <mergeCell ref="B8:C8"/>
    <mergeCell ref="B15:C15"/>
    <mergeCell ref="B29:C29"/>
    <mergeCell ref="B21:C21"/>
    <mergeCell ref="B23:C23"/>
    <mergeCell ref="B25:C25"/>
    <mergeCell ref="B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2"/>
  <sheetViews>
    <sheetView zoomScaleNormal="100" workbookViewId="0">
      <selection activeCell="B15" sqref="B15"/>
    </sheetView>
  </sheetViews>
  <sheetFormatPr defaultColWidth="8.7109375" defaultRowHeight="15" x14ac:dyDescent="0.25"/>
  <cols>
    <col min="1" max="1" width="3" customWidth="1"/>
    <col min="2" max="2" width="38" customWidth="1"/>
    <col min="3" max="3" width="18" customWidth="1"/>
    <col min="4" max="4" width="12" customWidth="1"/>
    <col min="5" max="5" width="38" customWidth="1"/>
  </cols>
  <sheetData>
    <row r="2" spans="1:5" ht="15.75" customHeight="1" x14ac:dyDescent="0.25">
      <c r="B2" s="55" t="s">
        <v>0</v>
      </c>
      <c r="C2" s="55"/>
      <c r="D2" s="55"/>
    </row>
    <row r="4" spans="1:5" ht="15" customHeight="1" x14ac:dyDescent="0.25">
      <c r="B4" s="1" t="s">
        <v>1</v>
      </c>
    </row>
    <row r="5" spans="1:5" ht="15" customHeight="1" x14ac:dyDescent="0.25">
      <c r="A5" s="2"/>
      <c r="B5" s="2" t="s">
        <v>2</v>
      </c>
      <c r="C5" s="2" t="s">
        <v>3</v>
      </c>
      <c r="D5" s="2" t="s">
        <v>4</v>
      </c>
      <c r="E5" s="2" t="s">
        <v>5</v>
      </c>
    </row>
    <row r="6" spans="1:5" ht="15" customHeight="1" x14ac:dyDescent="0.25">
      <c r="B6" s="3" t="s">
        <v>6</v>
      </c>
      <c r="C6" s="4">
        <v>7.2</v>
      </c>
      <c r="D6" s="3"/>
      <c r="E6" s="5" t="s">
        <v>7</v>
      </c>
    </row>
    <row r="7" spans="1:5" ht="15" customHeight="1" x14ac:dyDescent="0.25">
      <c r="B7" s="3" t="s">
        <v>8</v>
      </c>
      <c r="C7" s="6">
        <v>129.5</v>
      </c>
      <c r="D7" s="3"/>
      <c r="E7" s="5" t="s">
        <v>9</v>
      </c>
    </row>
    <row r="8" spans="1:5" ht="15" customHeight="1" x14ac:dyDescent="0.25">
      <c r="B8" s="3" t="s">
        <v>10</v>
      </c>
      <c r="C8" s="7">
        <v>5500</v>
      </c>
      <c r="D8" s="3" t="s">
        <v>11</v>
      </c>
      <c r="E8" s="5" t="s">
        <v>12</v>
      </c>
    </row>
    <row r="9" spans="1:5" ht="15" customHeight="1" x14ac:dyDescent="0.25">
      <c r="B9" s="3" t="s">
        <v>13</v>
      </c>
      <c r="C9" s="8">
        <v>12</v>
      </c>
      <c r="D9" s="3" t="s">
        <v>14</v>
      </c>
      <c r="E9" s="5" t="s">
        <v>15</v>
      </c>
    </row>
    <row r="10" spans="1:5" ht="15" customHeight="1" x14ac:dyDescent="0.25">
      <c r="B10" s="3" t="s">
        <v>16</v>
      </c>
      <c r="C10" s="9">
        <f>C8*C9</f>
        <v>66000</v>
      </c>
      <c r="D10" s="3" t="s">
        <v>14</v>
      </c>
      <c r="E10" s="5" t="s">
        <v>17</v>
      </c>
    </row>
    <row r="11" spans="1:5" ht="15" customHeight="1" x14ac:dyDescent="0.25">
      <c r="B11" s="3" t="s">
        <v>18</v>
      </c>
      <c r="C11" s="8">
        <v>0.75</v>
      </c>
      <c r="D11" s="3" t="s">
        <v>19</v>
      </c>
      <c r="E11" s="5" t="s">
        <v>20</v>
      </c>
    </row>
    <row r="13" spans="1:5" ht="15" customHeight="1" x14ac:dyDescent="0.25">
      <c r="B13" s="1" t="s">
        <v>21</v>
      </c>
    </row>
    <row r="14" spans="1:5" ht="15" customHeight="1" x14ac:dyDescent="0.25">
      <c r="A14" s="2"/>
      <c r="B14" s="2" t="s">
        <v>22</v>
      </c>
      <c r="C14" s="2" t="s">
        <v>23</v>
      </c>
      <c r="D14" s="2" t="s">
        <v>24</v>
      </c>
      <c r="E14" s="2" t="s">
        <v>5</v>
      </c>
    </row>
    <row r="15" spans="1:5" ht="15" customHeight="1" x14ac:dyDescent="0.25">
      <c r="B15" s="3" t="s">
        <v>25</v>
      </c>
      <c r="C15" s="10">
        <v>0.25</v>
      </c>
      <c r="D15" s="3" t="s">
        <v>26</v>
      </c>
      <c r="E15" s="5" t="s">
        <v>27</v>
      </c>
    </row>
    <row r="16" spans="1:5" ht="15" customHeight="1" x14ac:dyDescent="0.25">
      <c r="B16" s="3" t="s">
        <v>28</v>
      </c>
      <c r="C16" s="11">
        <v>22.5</v>
      </c>
      <c r="D16" s="3" t="s">
        <v>29</v>
      </c>
      <c r="E16" s="5" t="s">
        <v>30</v>
      </c>
    </row>
    <row r="17" spans="1:5" ht="15" customHeight="1" x14ac:dyDescent="0.25">
      <c r="B17" s="3" t="s">
        <v>31</v>
      </c>
      <c r="C17" s="10">
        <v>3.5000000000000003E-2</v>
      </c>
      <c r="D17" s="3" t="s">
        <v>26</v>
      </c>
      <c r="E17" s="5" t="s">
        <v>32</v>
      </c>
    </row>
    <row r="18" spans="1:5" ht="15" customHeight="1" x14ac:dyDescent="0.25">
      <c r="B18" s="3" t="s">
        <v>33</v>
      </c>
      <c r="C18" s="10">
        <v>0.02</v>
      </c>
      <c r="D18" s="3" t="s">
        <v>26</v>
      </c>
      <c r="E18" s="5" t="s">
        <v>34</v>
      </c>
    </row>
    <row r="19" spans="1:5" ht="15" customHeight="1" x14ac:dyDescent="0.25">
      <c r="B19" s="3" t="s">
        <v>35</v>
      </c>
      <c r="C19" s="10">
        <v>0.16</v>
      </c>
      <c r="D19" s="3" t="s">
        <v>36</v>
      </c>
      <c r="E19" s="5" t="s">
        <v>37</v>
      </c>
    </row>
    <row r="21" spans="1:5" ht="15" customHeight="1" x14ac:dyDescent="0.25">
      <c r="B21" s="1" t="s">
        <v>38</v>
      </c>
    </row>
    <row r="22" spans="1:5" ht="15" customHeight="1" x14ac:dyDescent="0.25">
      <c r="A22" s="2"/>
      <c r="B22" s="2" t="s">
        <v>39</v>
      </c>
      <c r="C22" s="2" t="s">
        <v>40</v>
      </c>
      <c r="D22" s="2" t="s">
        <v>4</v>
      </c>
      <c r="E22" s="2" t="s">
        <v>5</v>
      </c>
    </row>
    <row r="23" spans="1:5" ht="15" customHeight="1" x14ac:dyDescent="0.25">
      <c r="B23" s="3" t="s">
        <v>41</v>
      </c>
      <c r="C23" s="7">
        <v>650</v>
      </c>
      <c r="D23" s="3" t="s">
        <v>42</v>
      </c>
      <c r="E23" s="5" t="s">
        <v>43</v>
      </c>
    </row>
    <row r="24" spans="1:5" ht="15" customHeight="1" x14ac:dyDescent="0.25">
      <c r="B24" s="3" t="s">
        <v>44</v>
      </c>
      <c r="C24" s="7">
        <v>2800</v>
      </c>
      <c r="D24" s="3" t="s">
        <v>42</v>
      </c>
      <c r="E24" s="5" t="s">
        <v>45</v>
      </c>
    </row>
    <row r="25" spans="1:5" ht="15" customHeight="1" x14ac:dyDescent="0.25">
      <c r="B25" s="3" t="s">
        <v>46</v>
      </c>
      <c r="C25" s="10">
        <v>1.4999999999999999E-2</v>
      </c>
      <c r="D25" s="3" t="s">
        <v>47</v>
      </c>
      <c r="E25" s="5" t="s">
        <v>48</v>
      </c>
    </row>
    <row r="26" spans="1:5" ht="15" customHeight="1" x14ac:dyDescent="0.25">
      <c r="B26" s="3" t="s">
        <v>49</v>
      </c>
      <c r="C26" s="7">
        <v>350</v>
      </c>
      <c r="D26" s="3" t="s">
        <v>42</v>
      </c>
      <c r="E26" s="5" t="s">
        <v>50</v>
      </c>
    </row>
    <row r="27" spans="1:5" ht="15" customHeight="1" x14ac:dyDescent="0.25">
      <c r="B27" s="3" t="s">
        <v>51</v>
      </c>
      <c r="C27" s="7">
        <v>180</v>
      </c>
      <c r="D27" s="3" t="s">
        <v>42</v>
      </c>
      <c r="E27" s="5" t="s">
        <v>52</v>
      </c>
    </row>
    <row r="28" spans="1:5" ht="15" customHeight="1" x14ac:dyDescent="0.25">
      <c r="B28" s="3" t="s">
        <v>53</v>
      </c>
      <c r="C28" s="7">
        <v>250</v>
      </c>
      <c r="D28" s="3" t="s">
        <v>42</v>
      </c>
      <c r="E28" s="5" t="s">
        <v>54</v>
      </c>
    </row>
    <row r="29" spans="1:5" ht="15" customHeight="1" x14ac:dyDescent="0.25">
      <c r="B29" s="3" t="s">
        <v>55</v>
      </c>
      <c r="C29" s="7">
        <v>80</v>
      </c>
      <c r="D29" s="3" t="s">
        <v>42</v>
      </c>
      <c r="E29" s="5" t="s">
        <v>56</v>
      </c>
    </row>
    <row r="52" spans="2:5" x14ac:dyDescent="0.25">
      <c r="B52" s="3" t="s">
        <v>57</v>
      </c>
      <c r="C52" s="10">
        <v>0.3</v>
      </c>
      <c r="D52" s="3"/>
      <c r="E52" s="5" t="s">
        <v>58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30"/>
  <sheetViews>
    <sheetView topLeftCell="A6" zoomScaleNormal="100" workbookViewId="0">
      <selection activeCell="I29" sqref="I29"/>
    </sheetView>
  </sheetViews>
  <sheetFormatPr defaultColWidth="8.7109375" defaultRowHeight="15" x14ac:dyDescent="0.25"/>
  <cols>
    <col min="1" max="1" width="3" customWidth="1"/>
    <col min="2" max="2" width="5" customWidth="1"/>
    <col min="3" max="3" width="28" customWidth="1"/>
    <col min="4" max="4" width="10" customWidth="1"/>
    <col min="5" max="5" width="8" customWidth="1"/>
    <col min="6" max="6" width="10" customWidth="1"/>
    <col min="7" max="12" width="12" customWidth="1"/>
    <col min="13" max="19" width="14" customWidth="1"/>
  </cols>
  <sheetData>
    <row r="2" spans="1:19" ht="15.75" customHeight="1" x14ac:dyDescent="0.25">
      <c r="C2" s="55" t="s">
        <v>59</v>
      </c>
      <c r="D2" s="55"/>
      <c r="E2" s="55"/>
      <c r="F2" s="55"/>
      <c r="G2" s="55"/>
      <c r="H2" s="55"/>
      <c r="I2" s="55"/>
      <c r="J2" s="55"/>
      <c r="K2" s="55"/>
      <c r="L2" s="55"/>
    </row>
    <row r="4" spans="1:19" ht="29.25" customHeight="1" x14ac:dyDescent="0.25">
      <c r="A4" s="2"/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73</v>
      </c>
      <c r="P4" s="2" t="s">
        <v>74</v>
      </c>
      <c r="Q4" s="2" t="s">
        <v>75</v>
      </c>
      <c r="R4" s="2" t="s">
        <v>76</v>
      </c>
      <c r="S4" s="2" t="s">
        <v>77</v>
      </c>
    </row>
    <row r="5" spans="1:19" ht="15" customHeight="1" x14ac:dyDescent="0.25">
      <c r="B5" s="12">
        <v>1</v>
      </c>
      <c r="C5" s="3" t="s">
        <v>78</v>
      </c>
      <c r="D5" s="12" t="s">
        <v>79</v>
      </c>
      <c r="E5" s="10">
        <v>0.13</v>
      </c>
      <c r="F5" s="12" t="s">
        <v>80</v>
      </c>
      <c r="G5" s="11">
        <v>28</v>
      </c>
      <c r="H5" s="13">
        <f>G5*Assumptions!$C$6</f>
        <v>201.6</v>
      </c>
      <c r="I5" s="13">
        <f>Assumptions!$C$23/12</f>
        <v>54.166666666666664</v>
      </c>
      <c r="J5" s="13">
        <f>(H5+I5)*Assumptions!$C$25</f>
        <v>3.8364999999999996</v>
      </c>
      <c r="K5" s="14">
        <f t="shared" ref="K5:K30" si="0">H5+I5+J5</f>
        <v>259.60316666666665</v>
      </c>
      <c r="L5" s="13">
        <f>K5*Assumptions!$C$15</f>
        <v>64.900791666666663</v>
      </c>
      <c r="M5" s="13">
        <f>E5*Assumptions!$C$11*100*Assumptions!$C$16</f>
        <v>219.375</v>
      </c>
      <c r="N5" s="13">
        <f>K5*Assumptions!$C$17</f>
        <v>9.0861108333333345</v>
      </c>
      <c r="O5" s="13">
        <f>K5*Assumptions!$C$18</f>
        <v>5.1920633333333335</v>
      </c>
      <c r="P5" s="14">
        <f t="shared" ref="P5:P30" si="1">L5+M5+N5+O5</f>
        <v>298.55396583333339</v>
      </c>
      <c r="Q5" s="13">
        <f>(K5+P5)*Assumptions!$C$19</f>
        <v>89.305141199999994</v>
      </c>
      <c r="R5" s="13">
        <f>(Assumptions!$C$26+Assumptions!$C$27+Assumptions!$C$28+Assumptions!$C$29)/12</f>
        <v>71.666666666666671</v>
      </c>
      <c r="S5" s="14">
        <f t="shared" ref="S5:S30" si="2">K5+P5+Q5+R5</f>
        <v>719.1289403666666</v>
      </c>
    </row>
    <row r="6" spans="1:19" ht="15" customHeight="1" x14ac:dyDescent="0.25">
      <c r="B6" s="15">
        <v>2</v>
      </c>
      <c r="C6" s="16" t="s">
        <v>81</v>
      </c>
      <c r="D6" s="15" t="s">
        <v>82</v>
      </c>
      <c r="E6" s="17">
        <v>0.125</v>
      </c>
      <c r="F6" s="15" t="s">
        <v>80</v>
      </c>
      <c r="G6" s="18">
        <v>26</v>
      </c>
      <c r="H6" s="19">
        <f>G6*Assumptions!$C$6</f>
        <v>187.20000000000002</v>
      </c>
      <c r="I6" s="19">
        <f>Assumptions!$C$23/12</f>
        <v>54.166666666666664</v>
      </c>
      <c r="J6" s="19">
        <f>(H6+I6)*Assumptions!$C$25</f>
        <v>3.6204999999999998</v>
      </c>
      <c r="K6" s="20">
        <f t="shared" si="0"/>
        <v>244.98716666666667</v>
      </c>
      <c r="L6" s="19">
        <f>K6*Assumptions!$C$15</f>
        <v>61.246791666666667</v>
      </c>
      <c r="M6" s="19">
        <f>E6*Assumptions!$C$11*100*Assumptions!$C$16</f>
        <v>210.9375</v>
      </c>
      <c r="N6" s="19">
        <f>K6*Assumptions!$C$17</f>
        <v>8.5745508333333333</v>
      </c>
      <c r="O6" s="19">
        <f>K6*Assumptions!$C$18</f>
        <v>4.8997433333333333</v>
      </c>
      <c r="P6" s="20">
        <f t="shared" si="1"/>
        <v>285.65858583333335</v>
      </c>
      <c r="Q6" s="19">
        <f>(K6+P6)*Assumptions!$C$19</f>
        <v>84.903320400000013</v>
      </c>
      <c r="R6" s="19">
        <f>(Assumptions!$C$26+Assumptions!$C$27+Assumptions!$C$28+Assumptions!$C$29)/12</f>
        <v>71.666666666666671</v>
      </c>
      <c r="S6" s="20">
        <f t="shared" si="2"/>
        <v>687.21573956666668</v>
      </c>
    </row>
    <row r="7" spans="1:19" ht="15" customHeight="1" x14ac:dyDescent="0.25">
      <c r="B7" s="12">
        <v>3</v>
      </c>
      <c r="C7" s="3" t="s">
        <v>83</v>
      </c>
      <c r="D7" s="12" t="s">
        <v>84</v>
      </c>
      <c r="E7" s="10">
        <v>0.12</v>
      </c>
      <c r="F7" s="12" t="s">
        <v>80</v>
      </c>
      <c r="G7" s="11">
        <v>27</v>
      </c>
      <c r="H7" s="13">
        <f>G7*Assumptions!$C$6</f>
        <v>194.4</v>
      </c>
      <c r="I7" s="13">
        <f>Assumptions!$C$23/12</f>
        <v>54.166666666666664</v>
      </c>
      <c r="J7" s="13">
        <f>(H7+I7)*Assumptions!$C$25</f>
        <v>3.7284999999999999</v>
      </c>
      <c r="K7" s="14">
        <f t="shared" si="0"/>
        <v>252.29516666666666</v>
      </c>
      <c r="L7" s="13">
        <f>K7*Assumptions!$C$15</f>
        <v>63.073791666666665</v>
      </c>
      <c r="M7" s="13">
        <f>E7*Assumptions!$C$11*100*Assumptions!$C$16</f>
        <v>202.5</v>
      </c>
      <c r="N7" s="13">
        <f>K7*Assumptions!$C$17</f>
        <v>8.8303308333333348</v>
      </c>
      <c r="O7" s="13">
        <f>K7*Assumptions!$C$18</f>
        <v>5.0459033333333334</v>
      </c>
      <c r="P7" s="14">
        <f t="shared" si="1"/>
        <v>279.45002583333337</v>
      </c>
      <c r="Q7" s="13">
        <f>(K7+P7)*Assumptions!$C$19</f>
        <v>85.079230800000005</v>
      </c>
      <c r="R7" s="13">
        <f>(Assumptions!$C$26+Assumptions!$C$27+Assumptions!$C$28+Assumptions!$C$29)/12</f>
        <v>71.666666666666671</v>
      </c>
      <c r="S7" s="14">
        <f t="shared" si="2"/>
        <v>688.49108996666666</v>
      </c>
    </row>
    <row r="8" spans="1:19" ht="15" customHeight="1" x14ac:dyDescent="0.25">
      <c r="B8" s="15">
        <v>4</v>
      </c>
      <c r="C8" s="16" t="s">
        <v>85</v>
      </c>
      <c r="D8" s="15" t="s">
        <v>79</v>
      </c>
      <c r="E8" s="17">
        <v>0.13500000000000001</v>
      </c>
      <c r="F8" s="15" t="s">
        <v>80</v>
      </c>
      <c r="G8" s="18">
        <v>35</v>
      </c>
      <c r="H8" s="19">
        <f>G8*Assumptions!$C$6</f>
        <v>252</v>
      </c>
      <c r="I8" s="19">
        <f>Assumptions!$C$23/12</f>
        <v>54.166666666666664</v>
      </c>
      <c r="J8" s="19">
        <f>(H8+I8)*Assumptions!$C$25</f>
        <v>4.5925000000000002</v>
      </c>
      <c r="K8" s="20">
        <f t="shared" si="0"/>
        <v>310.75916666666666</v>
      </c>
      <c r="L8" s="19">
        <f>K8*Assumptions!$C$15</f>
        <v>77.689791666666665</v>
      </c>
      <c r="M8" s="19">
        <f>E8*Assumptions!$C$11*100*Assumptions!$C$16</f>
        <v>227.8125</v>
      </c>
      <c r="N8" s="19">
        <f>K8*Assumptions!$C$17</f>
        <v>10.876570833333334</v>
      </c>
      <c r="O8" s="19">
        <f>K8*Assumptions!$C$18</f>
        <v>6.2151833333333331</v>
      </c>
      <c r="P8" s="20">
        <f t="shared" si="1"/>
        <v>322.59404583333338</v>
      </c>
      <c r="Q8" s="19">
        <f>(K8+P8)*Assumptions!$C$19</f>
        <v>101.33651400000001</v>
      </c>
      <c r="R8" s="19">
        <f>(Assumptions!$C$26+Assumptions!$C$27+Assumptions!$C$28+Assumptions!$C$29)/12</f>
        <v>71.666666666666671</v>
      </c>
      <c r="S8" s="20">
        <f t="shared" si="2"/>
        <v>806.35639316666663</v>
      </c>
    </row>
    <row r="9" spans="1:19" ht="15" customHeight="1" x14ac:dyDescent="0.25">
      <c r="B9" s="12">
        <v>5</v>
      </c>
      <c r="C9" s="3" t="s">
        <v>86</v>
      </c>
      <c r="D9" s="12" t="s">
        <v>82</v>
      </c>
      <c r="E9" s="10">
        <v>0.13</v>
      </c>
      <c r="F9" s="12" t="s">
        <v>80</v>
      </c>
      <c r="G9" s="11">
        <v>33</v>
      </c>
      <c r="H9" s="13">
        <f>G9*Assumptions!$C$6</f>
        <v>237.6</v>
      </c>
      <c r="I9" s="13">
        <f>Assumptions!$C$23/12</f>
        <v>54.166666666666664</v>
      </c>
      <c r="J9" s="13">
        <f>(H9+I9)*Assumptions!$C$25</f>
        <v>4.3764999999999992</v>
      </c>
      <c r="K9" s="14">
        <f t="shared" si="0"/>
        <v>296.14316666666667</v>
      </c>
      <c r="L9" s="13">
        <f>K9*Assumptions!$C$15</f>
        <v>74.035791666666668</v>
      </c>
      <c r="M9" s="13">
        <f>E9*Assumptions!$C$11*100*Assumptions!$C$16</f>
        <v>219.375</v>
      </c>
      <c r="N9" s="13">
        <f>K9*Assumptions!$C$17</f>
        <v>10.365010833333335</v>
      </c>
      <c r="O9" s="13">
        <f>K9*Assumptions!$C$18</f>
        <v>5.9228633333333338</v>
      </c>
      <c r="P9" s="14">
        <f t="shared" si="1"/>
        <v>309.69866583333334</v>
      </c>
      <c r="Q9" s="13">
        <f>(K9+P9)*Assumptions!$C$19</f>
        <v>96.934693199999998</v>
      </c>
      <c r="R9" s="13">
        <f>(Assumptions!$C$26+Assumptions!$C$27+Assumptions!$C$28+Assumptions!$C$29)/12</f>
        <v>71.666666666666671</v>
      </c>
      <c r="S9" s="14">
        <f t="shared" si="2"/>
        <v>774.44319236666661</v>
      </c>
    </row>
    <row r="10" spans="1:19" ht="15" customHeight="1" x14ac:dyDescent="0.25">
      <c r="B10" s="15">
        <v>6</v>
      </c>
      <c r="C10" s="16" t="s">
        <v>87</v>
      </c>
      <c r="D10" s="15" t="s">
        <v>84</v>
      </c>
      <c r="E10" s="17">
        <v>0.125</v>
      </c>
      <c r="F10" s="15" t="s">
        <v>80</v>
      </c>
      <c r="G10" s="18">
        <v>32</v>
      </c>
      <c r="H10" s="19">
        <f>G10*Assumptions!$C$6</f>
        <v>230.4</v>
      </c>
      <c r="I10" s="19">
        <f>Assumptions!$C$23/12</f>
        <v>54.166666666666664</v>
      </c>
      <c r="J10" s="19">
        <f>(H10+I10)*Assumptions!$C$25</f>
        <v>4.2684999999999995</v>
      </c>
      <c r="K10" s="20">
        <f t="shared" si="0"/>
        <v>288.83516666666668</v>
      </c>
      <c r="L10" s="19">
        <f>K10*Assumptions!$C$15</f>
        <v>72.20879166666667</v>
      </c>
      <c r="M10" s="19">
        <f>E10*Assumptions!$C$11*100*Assumptions!$C$16</f>
        <v>210.9375</v>
      </c>
      <c r="N10" s="19">
        <f>K10*Assumptions!$C$17</f>
        <v>10.109230833333335</v>
      </c>
      <c r="O10" s="19">
        <f>K10*Assumptions!$C$18</f>
        <v>5.7767033333333337</v>
      </c>
      <c r="P10" s="20">
        <f t="shared" si="1"/>
        <v>299.03222583333337</v>
      </c>
      <c r="Q10" s="19">
        <f>(K10+P10)*Assumptions!$C$19</f>
        <v>94.058782800000003</v>
      </c>
      <c r="R10" s="19">
        <f>(Assumptions!$C$26+Assumptions!$C$27+Assumptions!$C$28+Assumptions!$C$29)/12</f>
        <v>71.666666666666671</v>
      </c>
      <c r="S10" s="20">
        <f t="shared" si="2"/>
        <v>753.5928419666667</v>
      </c>
    </row>
    <row r="11" spans="1:19" ht="15" customHeight="1" x14ac:dyDescent="0.25">
      <c r="B11" s="12">
        <v>7</v>
      </c>
      <c r="C11" s="3" t="s">
        <v>88</v>
      </c>
      <c r="D11" s="12" t="s">
        <v>79</v>
      </c>
      <c r="E11" s="10">
        <v>0.14000000000000001</v>
      </c>
      <c r="F11" s="12" t="s">
        <v>80</v>
      </c>
      <c r="G11" s="11">
        <v>38</v>
      </c>
      <c r="H11" s="13">
        <f>G11*Assumptions!$C$6</f>
        <v>273.60000000000002</v>
      </c>
      <c r="I11" s="13">
        <f>Assumptions!$C$23/12</f>
        <v>54.166666666666664</v>
      </c>
      <c r="J11" s="13">
        <f>(H11+I11)*Assumptions!$C$25</f>
        <v>4.9165000000000001</v>
      </c>
      <c r="K11" s="14">
        <f t="shared" si="0"/>
        <v>332.68316666666669</v>
      </c>
      <c r="L11" s="13">
        <f>K11*Assumptions!$C$15</f>
        <v>83.170791666666673</v>
      </c>
      <c r="M11" s="13">
        <f>E11*Assumptions!$C$11*100*Assumptions!$C$16</f>
        <v>236.25000000000003</v>
      </c>
      <c r="N11" s="13">
        <f>K11*Assumptions!$C$17</f>
        <v>11.643910833333335</v>
      </c>
      <c r="O11" s="13">
        <f>K11*Assumptions!$C$18</f>
        <v>6.6536633333333342</v>
      </c>
      <c r="P11" s="14">
        <f t="shared" si="1"/>
        <v>337.71836583333334</v>
      </c>
      <c r="Q11" s="13">
        <f>(K11+P11)*Assumptions!$C$19</f>
        <v>107.2642452</v>
      </c>
      <c r="R11" s="13">
        <f>(Assumptions!$C$26+Assumptions!$C$27+Assumptions!$C$28+Assumptions!$C$29)/12</f>
        <v>71.666666666666671</v>
      </c>
      <c r="S11" s="14">
        <f t="shared" si="2"/>
        <v>849.33244436666666</v>
      </c>
    </row>
    <row r="12" spans="1:19" ht="15" customHeight="1" x14ac:dyDescent="0.25">
      <c r="B12" s="15">
        <v>8</v>
      </c>
      <c r="C12" s="16" t="s">
        <v>89</v>
      </c>
      <c r="D12" s="15" t="s">
        <v>82</v>
      </c>
      <c r="E12" s="17">
        <v>0.13</v>
      </c>
      <c r="F12" s="15" t="s">
        <v>80</v>
      </c>
      <c r="G12" s="18">
        <v>36</v>
      </c>
      <c r="H12" s="19">
        <f>G12*Assumptions!$C$6</f>
        <v>259.2</v>
      </c>
      <c r="I12" s="19">
        <f>Assumptions!$C$23/12</f>
        <v>54.166666666666664</v>
      </c>
      <c r="J12" s="19">
        <f>(H12+I12)*Assumptions!$C$25</f>
        <v>4.7004999999999999</v>
      </c>
      <c r="K12" s="20">
        <f t="shared" si="0"/>
        <v>318.06716666666665</v>
      </c>
      <c r="L12" s="19">
        <f>K12*Assumptions!$C$15</f>
        <v>79.516791666666663</v>
      </c>
      <c r="M12" s="19">
        <f>E12*Assumptions!$C$11*100*Assumptions!$C$16</f>
        <v>219.375</v>
      </c>
      <c r="N12" s="19">
        <f>K12*Assumptions!$C$17</f>
        <v>11.132350833333334</v>
      </c>
      <c r="O12" s="19">
        <f>K12*Assumptions!$C$18</f>
        <v>6.3613433333333331</v>
      </c>
      <c r="P12" s="20">
        <f t="shared" si="1"/>
        <v>316.38548583333335</v>
      </c>
      <c r="Q12" s="19">
        <f>(K12+P12)*Assumptions!$C$19</f>
        <v>101.5124244</v>
      </c>
      <c r="R12" s="19">
        <f>(Assumptions!$C$26+Assumptions!$C$27+Assumptions!$C$28+Assumptions!$C$29)/12</f>
        <v>71.666666666666671</v>
      </c>
      <c r="S12" s="20">
        <f t="shared" si="2"/>
        <v>807.63174356666661</v>
      </c>
    </row>
    <row r="13" spans="1:19" ht="15" customHeight="1" x14ac:dyDescent="0.25">
      <c r="B13" s="12">
        <v>9</v>
      </c>
      <c r="C13" s="3" t="s">
        <v>90</v>
      </c>
      <c r="D13" s="12" t="s">
        <v>79</v>
      </c>
      <c r="E13" s="10">
        <v>0.14000000000000001</v>
      </c>
      <c r="F13" s="12" t="s">
        <v>91</v>
      </c>
      <c r="G13" s="11">
        <v>55</v>
      </c>
      <c r="H13" s="13">
        <f>G13*Assumptions!$C$6</f>
        <v>396</v>
      </c>
      <c r="I13" s="13">
        <f>Assumptions!$C$23/12</f>
        <v>54.166666666666664</v>
      </c>
      <c r="J13" s="13">
        <f>(H13+I13)*Assumptions!$C$25</f>
        <v>6.7525000000000004</v>
      </c>
      <c r="K13" s="14">
        <f t="shared" si="0"/>
        <v>456.91916666666668</v>
      </c>
      <c r="L13" s="13">
        <f>K13*Assumptions!$C$15</f>
        <v>114.22979166666667</v>
      </c>
      <c r="M13" s="13">
        <f>E13*Assumptions!$C$11*100*Assumptions!$C$16</f>
        <v>236.25000000000003</v>
      </c>
      <c r="N13" s="13">
        <f>K13*Assumptions!$C$17</f>
        <v>15.992170833333335</v>
      </c>
      <c r="O13" s="13">
        <f>K13*Assumptions!$C$18</f>
        <v>9.1383833333333335</v>
      </c>
      <c r="P13" s="14">
        <f t="shared" si="1"/>
        <v>375.61034583333333</v>
      </c>
      <c r="Q13" s="13">
        <f>(K13+P13)*Assumptions!$C$19</f>
        <v>133.204722</v>
      </c>
      <c r="R13" s="13">
        <f>(Assumptions!$C$26+Assumptions!$C$27+Assumptions!$C$28+Assumptions!$C$29)/12</f>
        <v>71.666666666666671</v>
      </c>
      <c r="S13" s="14">
        <f t="shared" si="2"/>
        <v>1037.4009011666667</v>
      </c>
    </row>
    <row r="14" spans="1:19" ht="15" customHeight="1" x14ac:dyDescent="0.25">
      <c r="B14" s="15">
        <v>10</v>
      </c>
      <c r="C14" s="16" t="s">
        <v>92</v>
      </c>
      <c r="D14" s="15" t="s">
        <v>79</v>
      </c>
      <c r="E14" s="17">
        <v>0.13500000000000001</v>
      </c>
      <c r="F14" s="15" t="s">
        <v>91</v>
      </c>
      <c r="G14" s="18">
        <v>52</v>
      </c>
      <c r="H14" s="19">
        <f>G14*Assumptions!$C$6</f>
        <v>374.40000000000003</v>
      </c>
      <c r="I14" s="19">
        <f>Assumptions!$C$23/12</f>
        <v>54.166666666666664</v>
      </c>
      <c r="J14" s="19">
        <f>(H14+I14)*Assumptions!$C$25</f>
        <v>6.4285000000000005</v>
      </c>
      <c r="K14" s="20">
        <f t="shared" si="0"/>
        <v>434.99516666666671</v>
      </c>
      <c r="L14" s="19">
        <f>K14*Assumptions!$C$15</f>
        <v>108.74879166666668</v>
      </c>
      <c r="M14" s="19">
        <f>E14*Assumptions!$C$11*100*Assumptions!$C$16</f>
        <v>227.8125</v>
      </c>
      <c r="N14" s="19">
        <f>K14*Assumptions!$C$17</f>
        <v>15.224830833333336</v>
      </c>
      <c r="O14" s="19">
        <f>K14*Assumptions!$C$18</f>
        <v>8.6999033333333351</v>
      </c>
      <c r="P14" s="20">
        <f t="shared" si="1"/>
        <v>360.48602583333331</v>
      </c>
      <c r="Q14" s="19">
        <f>(K14+P14)*Assumptions!$C$19</f>
        <v>127.27699080000001</v>
      </c>
      <c r="R14" s="19">
        <f>(Assumptions!$C$26+Assumptions!$C$27+Assumptions!$C$28+Assumptions!$C$29)/12</f>
        <v>71.666666666666671</v>
      </c>
      <c r="S14" s="20">
        <f t="shared" si="2"/>
        <v>994.42484996666667</v>
      </c>
    </row>
    <row r="15" spans="1:19" ht="15" customHeight="1" x14ac:dyDescent="0.25">
      <c r="B15" s="12">
        <v>11</v>
      </c>
      <c r="C15" s="3" t="s">
        <v>93</v>
      </c>
      <c r="D15" s="12" t="s">
        <v>82</v>
      </c>
      <c r="E15" s="10">
        <v>0.13</v>
      </c>
      <c r="F15" s="12" t="s">
        <v>91</v>
      </c>
      <c r="G15" s="11">
        <v>48</v>
      </c>
      <c r="H15" s="13">
        <f>G15*Assumptions!$C$6</f>
        <v>345.6</v>
      </c>
      <c r="I15" s="13">
        <f>Assumptions!$C$23/12</f>
        <v>54.166666666666664</v>
      </c>
      <c r="J15" s="13">
        <f>(H15+I15)*Assumptions!$C$25</f>
        <v>5.9965000000000002</v>
      </c>
      <c r="K15" s="14">
        <f t="shared" si="0"/>
        <v>405.76316666666673</v>
      </c>
      <c r="L15" s="13">
        <f>K15*Assumptions!$C$15</f>
        <v>101.44079166666668</v>
      </c>
      <c r="M15" s="13">
        <f>E15*Assumptions!$C$11*100*Assumptions!$C$16</f>
        <v>219.375</v>
      </c>
      <c r="N15" s="13">
        <f>K15*Assumptions!$C$17</f>
        <v>14.201710833333337</v>
      </c>
      <c r="O15" s="13">
        <f>K15*Assumptions!$C$18</f>
        <v>8.1152633333333348</v>
      </c>
      <c r="P15" s="14">
        <f t="shared" si="1"/>
        <v>343.13276583333334</v>
      </c>
      <c r="Q15" s="13">
        <f>(K15+P15)*Assumptions!$C$19</f>
        <v>119.82334920000001</v>
      </c>
      <c r="R15" s="13">
        <f>(Assumptions!$C$26+Assumptions!$C$27+Assumptions!$C$28+Assumptions!$C$29)/12</f>
        <v>71.666666666666671</v>
      </c>
      <c r="S15" s="14">
        <f t="shared" si="2"/>
        <v>940.38594836666675</v>
      </c>
    </row>
    <row r="16" spans="1:19" ht="15" customHeight="1" x14ac:dyDescent="0.25">
      <c r="B16" s="15">
        <v>12</v>
      </c>
      <c r="C16" s="16" t="s">
        <v>94</v>
      </c>
      <c r="D16" s="15" t="s">
        <v>82</v>
      </c>
      <c r="E16" s="17">
        <v>0.125</v>
      </c>
      <c r="F16" s="15" t="s">
        <v>91</v>
      </c>
      <c r="G16" s="18">
        <v>50</v>
      </c>
      <c r="H16" s="19">
        <f>G16*Assumptions!$C$6</f>
        <v>360</v>
      </c>
      <c r="I16" s="19">
        <f>Assumptions!$C$23/12</f>
        <v>54.166666666666664</v>
      </c>
      <c r="J16" s="19">
        <f>(H16+I16)*Assumptions!$C$25</f>
        <v>6.2125000000000004</v>
      </c>
      <c r="K16" s="20">
        <f t="shared" si="0"/>
        <v>420.37916666666666</v>
      </c>
      <c r="L16" s="19">
        <f>K16*Assumptions!$C$15</f>
        <v>105.09479166666667</v>
      </c>
      <c r="M16" s="19">
        <f>E16*Assumptions!$C$11*100*Assumptions!$C$16</f>
        <v>210.9375</v>
      </c>
      <c r="N16" s="19">
        <f>K16*Assumptions!$C$17</f>
        <v>14.713270833333334</v>
      </c>
      <c r="O16" s="19">
        <f>K16*Assumptions!$C$18</f>
        <v>8.4075833333333332</v>
      </c>
      <c r="P16" s="20">
        <f t="shared" si="1"/>
        <v>339.15314583333333</v>
      </c>
      <c r="Q16" s="19">
        <f>(K16+P16)*Assumptions!$C$19</f>
        <v>121.52517</v>
      </c>
      <c r="R16" s="19">
        <f>(Assumptions!$C$26+Assumptions!$C$27+Assumptions!$C$28+Assumptions!$C$29)/12</f>
        <v>71.666666666666671</v>
      </c>
      <c r="S16" s="20">
        <f t="shared" si="2"/>
        <v>952.72414916666662</v>
      </c>
    </row>
    <row r="17" spans="2:19" ht="15" customHeight="1" x14ac:dyDescent="0.25">
      <c r="B17" s="12">
        <v>13</v>
      </c>
      <c r="C17" s="3" t="s">
        <v>95</v>
      </c>
      <c r="D17" s="12" t="s">
        <v>79</v>
      </c>
      <c r="E17" s="10">
        <v>0.14499999999999999</v>
      </c>
      <c r="F17" s="12" t="s">
        <v>91</v>
      </c>
      <c r="G17" s="11">
        <v>65</v>
      </c>
      <c r="H17" s="13">
        <f>G17*Assumptions!$C$6</f>
        <v>468</v>
      </c>
      <c r="I17" s="13">
        <f>Assumptions!$C$23/12</f>
        <v>54.166666666666664</v>
      </c>
      <c r="J17" s="13">
        <f>(H17+I17)*Assumptions!$C$25</f>
        <v>7.8324999999999996</v>
      </c>
      <c r="K17" s="14">
        <f t="shared" si="0"/>
        <v>529.99916666666661</v>
      </c>
      <c r="L17" s="13">
        <f>K17*Assumptions!$C$15</f>
        <v>132.49979166666665</v>
      </c>
      <c r="M17" s="13">
        <f>E17*Assumptions!$C$11*100*Assumptions!$C$16</f>
        <v>244.68749999999997</v>
      </c>
      <c r="N17" s="13">
        <f>K17*Assumptions!$C$17</f>
        <v>18.549970833333333</v>
      </c>
      <c r="O17" s="13">
        <f>K17*Assumptions!$C$18</f>
        <v>10.599983333333332</v>
      </c>
      <c r="P17" s="14">
        <f t="shared" si="1"/>
        <v>406.33724583333327</v>
      </c>
      <c r="Q17" s="13">
        <f>(K17+P17)*Assumptions!$C$19</f>
        <v>149.81382599999998</v>
      </c>
      <c r="R17" s="13">
        <f>(Assumptions!$C$26+Assumptions!$C$27+Assumptions!$C$28+Assumptions!$C$29)/12</f>
        <v>71.666666666666671</v>
      </c>
      <c r="S17" s="14">
        <f t="shared" si="2"/>
        <v>1157.8169051666666</v>
      </c>
    </row>
    <row r="18" spans="2:19" ht="15" customHeight="1" x14ac:dyDescent="0.25">
      <c r="B18" s="15">
        <v>14</v>
      </c>
      <c r="C18" s="16" t="s">
        <v>96</v>
      </c>
      <c r="D18" s="15" t="s">
        <v>84</v>
      </c>
      <c r="E18" s="17">
        <v>0.12</v>
      </c>
      <c r="F18" s="15" t="s">
        <v>91</v>
      </c>
      <c r="G18" s="18">
        <v>45</v>
      </c>
      <c r="H18" s="19">
        <f>G18*Assumptions!$C$6</f>
        <v>324</v>
      </c>
      <c r="I18" s="19">
        <f>Assumptions!$C$23/12</f>
        <v>54.166666666666664</v>
      </c>
      <c r="J18" s="19">
        <f>(H18+I18)*Assumptions!$C$25</f>
        <v>5.6725000000000003</v>
      </c>
      <c r="K18" s="20">
        <f t="shared" si="0"/>
        <v>383.8391666666667</v>
      </c>
      <c r="L18" s="19">
        <f>K18*Assumptions!$C$15</f>
        <v>95.959791666666675</v>
      </c>
      <c r="M18" s="19">
        <f>E18*Assumptions!$C$11*100*Assumptions!$C$16</f>
        <v>202.5</v>
      </c>
      <c r="N18" s="19">
        <f>K18*Assumptions!$C$17</f>
        <v>13.434370833333336</v>
      </c>
      <c r="O18" s="19">
        <f>K18*Assumptions!$C$18</f>
        <v>7.6767833333333337</v>
      </c>
      <c r="P18" s="20">
        <f t="shared" si="1"/>
        <v>319.57094583333333</v>
      </c>
      <c r="Q18" s="19">
        <f>(K18+P18)*Assumptions!$C$19</f>
        <v>112.54561799999999</v>
      </c>
      <c r="R18" s="19">
        <f>(Assumptions!$C$26+Assumptions!$C$27+Assumptions!$C$28+Assumptions!$C$29)/12</f>
        <v>71.666666666666671</v>
      </c>
      <c r="S18" s="20">
        <f t="shared" si="2"/>
        <v>887.62239716666659</v>
      </c>
    </row>
    <row r="19" spans="2:19" ht="15" customHeight="1" x14ac:dyDescent="0.25">
      <c r="B19" s="12">
        <v>15</v>
      </c>
      <c r="C19" s="3" t="s">
        <v>97</v>
      </c>
      <c r="D19" s="12" t="s">
        <v>82</v>
      </c>
      <c r="E19" s="10">
        <v>0.12</v>
      </c>
      <c r="F19" s="12" t="s">
        <v>91</v>
      </c>
      <c r="G19" s="11">
        <v>70</v>
      </c>
      <c r="H19" s="13">
        <f>G19*Assumptions!$C$6</f>
        <v>504</v>
      </c>
      <c r="I19" s="13">
        <f>Assumptions!$C$23/12</f>
        <v>54.166666666666664</v>
      </c>
      <c r="J19" s="13">
        <f>(H19+I19)*Assumptions!$C$25</f>
        <v>8.3724999999999987</v>
      </c>
      <c r="K19" s="14">
        <f t="shared" si="0"/>
        <v>566.53916666666657</v>
      </c>
      <c r="L19" s="13">
        <f>K19*Assumptions!$C$15</f>
        <v>141.63479166666664</v>
      </c>
      <c r="M19" s="13">
        <f>E19*Assumptions!$C$11*100*Assumptions!$C$16</f>
        <v>202.5</v>
      </c>
      <c r="N19" s="13">
        <f>K19*Assumptions!$C$17</f>
        <v>19.828870833333333</v>
      </c>
      <c r="O19" s="13">
        <f>K19*Assumptions!$C$18</f>
        <v>11.330783333333331</v>
      </c>
      <c r="P19" s="14">
        <f t="shared" si="1"/>
        <v>375.29444583333327</v>
      </c>
      <c r="Q19" s="13">
        <f>(K19+P19)*Assumptions!$C$19</f>
        <v>150.69337799999997</v>
      </c>
      <c r="R19" s="13">
        <f>(Assumptions!$C$26+Assumptions!$C$27+Assumptions!$C$28+Assumptions!$C$29)/12</f>
        <v>71.666666666666671</v>
      </c>
      <c r="S19" s="14">
        <f t="shared" si="2"/>
        <v>1164.1936571666665</v>
      </c>
    </row>
    <row r="20" spans="2:19" ht="15" customHeight="1" x14ac:dyDescent="0.25">
      <c r="B20" s="15">
        <v>16</v>
      </c>
      <c r="C20" s="16" t="s">
        <v>98</v>
      </c>
      <c r="D20" s="15" t="s">
        <v>79</v>
      </c>
      <c r="E20" s="17">
        <v>0.14000000000000001</v>
      </c>
      <c r="F20" s="15" t="s">
        <v>91</v>
      </c>
      <c r="G20" s="18">
        <v>68</v>
      </c>
      <c r="H20" s="19">
        <f>G20*Assumptions!$C$6</f>
        <v>489.6</v>
      </c>
      <c r="I20" s="19">
        <f>Assumptions!$C$23/12</f>
        <v>54.166666666666664</v>
      </c>
      <c r="J20" s="19">
        <f>(H20+I20)*Assumptions!$C$25</f>
        <v>8.1564999999999994</v>
      </c>
      <c r="K20" s="20">
        <f t="shared" si="0"/>
        <v>551.9231666666667</v>
      </c>
      <c r="L20" s="19">
        <f>K20*Assumptions!$C$15</f>
        <v>137.98079166666668</v>
      </c>
      <c r="M20" s="19">
        <f>E20*Assumptions!$C$11*100*Assumptions!$C$16</f>
        <v>236.25000000000003</v>
      </c>
      <c r="N20" s="19">
        <f>K20*Assumptions!$C$17</f>
        <v>19.317310833333337</v>
      </c>
      <c r="O20" s="19">
        <f>K20*Assumptions!$C$18</f>
        <v>11.038463333333334</v>
      </c>
      <c r="P20" s="20">
        <f t="shared" si="1"/>
        <v>404.5865658333334</v>
      </c>
      <c r="Q20" s="19">
        <f>(K20+P20)*Assumptions!$C$19</f>
        <v>153.04155720000003</v>
      </c>
      <c r="R20" s="19">
        <f>(Assumptions!$C$26+Assumptions!$C$27+Assumptions!$C$28+Assumptions!$C$29)/12</f>
        <v>71.666666666666671</v>
      </c>
      <c r="S20" s="20">
        <f t="shared" si="2"/>
        <v>1181.2179563666668</v>
      </c>
    </row>
    <row r="21" spans="2:19" ht="15" customHeight="1" x14ac:dyDescent="0.25">
      <c r="B21" s="12">
        <v>17</v>
      </c>
      <c r="C21" s="3" t="s">
        <v>99</v>
      </c>
      <c r="D21" s="12" t="s">
        <v>79</v>
      </c>
      <c r="E21" s="10">
        <v>0.13</v>
      </c>
      <c r="F21" s="12" t="s">
        <v>91</v>
      </c>
      <c r="G21" s="11">
        <v>75</v>
      </c>
      <c r="H21" s="13">
        <f>G21*Assumptions!$C$6</f>
        <v>540</v>
      </c>
      <c r="I21" s="13">
        <f>Assumptions!$C$23/12</f>
        <v>54.166666666666664</v>
      </c>
      <c r="J21" s="13">
        <f>(H21+I21)*Assumptions!$C$25</f>
        <v>8.9124999999999996</v>
      </c>
      <c r="K21" s="14">
        <f t="shared" si="0"/>
        <v>603.07916666666665</v>
      </c>
      <c r="L21" s="13">
        <f>K21*Assumptions!$C$15</f>
        <v>150.76979166666666</v>
      </c>
      <c r="M21" s="13">
        <f>E21*Assumptions!$C$11*100*Assumptions!$C$16</f>
        <v>219.375</v>
      </c>
      <c r="N21" s="13">
        <f>K21*Assumptions!$C$17</f>
        <v>21.107770833333333</v>
      </c>
      <c r="O21" s="13">
        <f>K21*Assumptions!$C$18</f>
        <v>12.061583333333333</v>
      </c>
      <c r="P21" s="14">
        <f t="shared" si="1"/>
        <v>403.31414583333333</v>
      </c>
      <c r="Q21" s="13">
        <f>(K21+P21)*Assumptions!$C$19</f>
        <v>161.02293</v>
      </c>
      <c r="R21" s="13">
        <f>(Assumptions!$C$26+Assumptions!$C$27+Assumptions!$C$28+Assumptions!$C$29)/12</f>
        <v>71.666666666666671</v>
      </c>
      <c r="S21" s="14">
        <f t="shared" si="2"/>
        <v>1239.0829091666667</v>
      </c>
    </row>
    <row r="22" spans="2:19" ht="15" customHeight="1" x14ac:dyDescent="0.25">
      <c r="B22" s="15">
        <v>18</v>
      </c>
      <c r="C22" s="16" t="s">
        <v>100</v>
      </c>
      <c r="D22" s="15" t="s">
        <v>79</v>
      </c>
      <c r="E22" s="17">
        <v>0.14499999999999999</v>
      </c>
      <c r="F22" s="15" t="s">
        <v>101</v>
      </c>
      <c r="G22" s="18">
        <v>180</v>
      </c>
      <c r="H22" s="19">
        <f>G22*Assumptions!$C$6</f>
        <v>1296</v>
      </c>
      <c r="I22" s="19">
        <f>Assumptions!$C$24/12</f>
        <v>233.33333333333334</v>
      </c>
      <c r="J22" s="19">
        <f>(H22+I22)*Assumptions!$C$25</f>
        <v>22.939999999999998</v>
      </c>
      <c r="K22" s="20">
        <f t="shared" si="0"/>
        <v>1552.2733333333333</v>
      </c>
      <c r="L22" s="19">
        <f>K22*Assumptions!$C$15</f>
        <v>388.06833333333333</v>
      </c>
      <c r="M22" s="19">
        <f>E22*Assumptions!$C$11*100*Assumptions!$C$16</f>
        <v>244.68749999999997</v>
      </c>
      <c r="N22" s="19">
        <f>K22*Assumptions!$C$17</f>
        <v>54.329566666666672</v>
      </c>
      <c r="O22" s="19">
        <f>K22*Assumptions!$C$18</f>
        <v>31.045466666666666</v>
      </c>
      <c r="P22" s="20">
        <f t="shared" si="1"/>
        <v>718.13086666666663</v>
      </c>
      <c r="Q22" s="19">
        <f>(K22+P22)*Assumptions!$C$19</f>
        <v>363.26467200000002</v>
      </c>
      <c r="R22" s="19">
        <f>(Assumptions!$C$26+Assumptions!$C$27+Assumptions!$C$28+Assumptions!$C$29)/12</f>
        <v>71.666666666666671</v>
      </c>
      <c r="S22" s="20">
        <f t="shared" si="2"/>
        <v>2705.3355386666667</v>
      </c>
    </row>
    <row r="23" spans="2:19" ht="15" customHeight="1" x14ac:dyDescent="0.25">
      <c r="B23" s="12">
        <v>19</v>
      </c>
      <c r="C23" s="3" t="s">
        <v>102</v>
      </c>
      <c r="D23" s="12" t="s">
        <v>79</v>
      </c>
      <c r="E23" s="10">
        <v>0.14000000000000001</v>
      </c>
      <c r="F23" s="12" t="s">
        <v>101</v>
      </c>
      <c r="G23" s="11">
        <v>250</v>
      </c>
      <c r="H23" s="13">
        <f>G23*Assumptions!$C$6</f>
        <v>1800</v>
      </c>
      <c r="I23" s="13">
        <f>Assumptions!$C$24/12</f>
        <v>233.33333333333334</v>
      </c>
      <c r="J23" s="13">
        <f>(H23+I23)*Assumptions!$C$25</f>
        <v>30.499999999999996</v>
      </c>
      <c r="K23" s="14">
        <f t="shared" si="0"/>
        <v>2063.833333333333</v>
      </c>
      <c r="L23" s="13">
        <f>K23*Assumptions!$C$15</f>
        <v>515.95833333333326</v>
      </c>
      <c r="M23" s="13">
        <f>E23*Assumptions!$C$11*100*Assumptions!$C$16</f>
        <v>236.25000000000003</v>
      </c>
      <c r="N23" s="13">
        <f>K23*Assumptions!$C$17</f>
        <v>72.234166666666667</v>
      </c>
      <c r="O23" s="13">
        <f>K23*Assumptions!$C$18</f>
        <v>41.276666666666664</v>
      </c>
      <c r="P23" s="14">
        <f t="shared" si="1"/>
        <v>865.71916666666652</v>
      </c>
      <c r="Q23" s="13">
        <f>(K23+P23)*Assumptions!$C$19</f>
        <v>468.72839999999997</v>
      </c>
      <c r="R23" s="13">
        <f>(Assumptions!$C$26+Assumptions!$C$27+Assumptions!$C$28+Assumptions!$C$29)/12</f>
        <v>71.666666666666671</v>
      </c>
      <c r="S23" s="14">
        <f t="shared" si="2"/>
        <v>3469.9475666666663</v>
      </c>
    </row>
    <row r="24" spans="2:19" ht="15" customHeight="1" x14ac:dyDescent="0.25">
      <c r="B24" s="15">
        <v>20</v>
      </c>
      <c r="C24" s="16" t="s">
        <v>103</v>
      </c>
      <c r="D24" s="15" t="s">
        <v>79</v>
      </c>
      <c r="E24" s="17">
        <v>0.13</v>
      </c>
      <c r="F24" s="15" t="s">
        <v>101</v>
      </c>
      <c r="G24" s="18">
        <v>220</v>
      </c>
      <c r="H24" s="19">
        <f>G24*Assumptions!$C$6</f>
        <v>1584</v>
      </c>
      <c r="I24" s="19">
        <f>Assumptions!$C$24/12</f>
        <v>233.33333333333334</v>
      </c>
      <c r="J24" s="19">
        <f>(H24+I24)*Assumptions!$C$25</f>
        <v>27.259999999999998</v>
      </c>
      <c r="K24" s="20">
        <f t="shared" si="0"/>
        <v>1844.5933333333332</v>
      </c>
      <c r="L24" s="19">
        <f>K24*Assumptions!$C$15</f>
        <v>461.14833333333331</v>
      </c>
      <c r="M24" s="19">
        <f>E24*Assumptions!$C$11*100*Assumptions!$C$16</f>
        <v>219.375</v>
      </c>
      <c r="N24" s="19">
        <f>K24*Assumptions!$C$17</f>
        <v>64.560766666666666</v>
      </c>
      <c r="O24" s="19">
        <f>K24*Assumptions!$C$18</f>
        <v>36.891866666666665</v>
      </c>
      <c r="P24" s="20">
        <f t="shared" si="1"/>
        <v>781.97596666666675</v>
      </c>
      <c r="Q24" s="19">
        <f>(K24+P24)*Assumptions!$C$19</f>
        <v>420.25108800000004</v>
      </c>
      <c r="R24" s="19">
        <f>(Assumptions!$C$26+Assumptions!$C$27+Assumptions!$C$28+Assumptions!$C$29)/12</f>
        <v>71.666666666666671</v>
      </c>
      <c r="S24" s="20">
        <f t="shared" si="2"/>
        <v>3118.4870546666666</v>
      </c>
    </row>
    <row r="25" spans="2:19" ht="15" customHeight="1" x14ac:dyDescent="0.25">
      <c r="B25" s="12">
        <v>21</v>
      </c>
      <c r="C25" s="3" t="s">
        <v>104</v>
      </c>
      <c r="D25" s="12" t="s">
        <v>82</v>
      </c>
      <c r="E25" s="10">
        <v>0.14000000000000001</v>
      </c>
      <c r="F25" s="12" t="s">
        <v>101</v>
      </c>
      <c r="G25" s="11">
        <v>350</v>
      </c>
      <c r="H25" s="13">
        <f>G25*Assumptions!$C$6</f>
        <v>2520</v>
      </c>
      <c r="I25" s="13">
        <f>Assumptions!$C$24/12</f>
        <v>233.33333333333334</v>
      </c>
      <c r="J25" s="13">
        <f>(H25+I25)*Assumptions!$C$25</f>
        <v>41.300000000000004</v>
      </c>
      <c r="K25" s="14">
        <f t="shared" si="0"/>
        <v>2794.6333333333337</v>
      </c>
      <c r="L25" s="13">
        <f>K25*Assumptions!$C$15</f>
        <v>698.65833333333342</v>
      </c>
      <c r="M25" s="13">
        <f>E25*Assumptions!$C$11*100*Assumptions!$C$16</f>
        <v>236.25000000000003</v>
      </c>
      <c r="N25" s="13">
        <f>K25*Assumptions!$C$17</f>
        <v>97.812166666666684</v>
      </c>
      <c r="O25" s="13">
        <f>K25*Assumptions!$C$18</f>
        <v>55.892666666666678</v>
      </c>
      <c r="P25" s="14">
        <f t="shared" si="1"/>
        <v>1088.6131666666668</v>
      </c>
      <c r="Q25" s="13">
        <f>(K25+P25)*Assumptions!$C$19</f>
        <v>621.3194400000001</v>
      </c>
      <c r="R25" s="13">
        <f>(Assumptions!$C$26+Assumptions!$C$27+Assumptions!$C$28+Assumptions!$C$29)/12</f>
        <v>71.666666666666671</v>
      </c>
      <c r="S25" s="14">
        <f t="shared" si="2"/>
        <v>4576.2326066666674</v>
      </c>
    </row>
    <row r="26" spans="2:19" ht="15" customHeight="1" x14ac:dyDescent="0.25">
      <c r="B26" s="15">
        <v>22</v>
      </c>
      <c r="C26" s="16" t="s">
        <v>105</v>
      </c>
      <c r="D26" s="15" t="s">
        <v>79</v>
      </c>
      <c r="E26" s="17">
        <v>0.14499999999999999</v>
      </c>
      <c r="F26" s="15" t="s">
        <v>101</v>
      </c>
      <c r="G26" s="18">
        <v>200</v>
      </c>
      <c r="H26" s="19">
        <f>G26*Assumptions!$C$6</f>
        <v>1440</v>
      </c>
      <c r="I26" s="19">
        <f>Assumptions!$C$24/12</f>
        <v>233.33333333333334</v>
      </c>
      <c r="J26" s="19">
        <f>(H26+I26)*Assumptions!$C$25</f>
        <v>25.099999999999998</v>
      </c>
      <c r="K26" s="20">
        <f t="shared" si="0"/>
        <v>1698.4333333333332</v>
      </c>
      <c r="L26" s="19">
        <f>K26*Assumptions!$C$15</f>
        <v>424.60833333333329</v>
      </c>
      <c r="M26" s="19">
        <f>E26*Assumptions!$C$11*100*Assumptions!$C$16</f>
        <v>244.68749999999997</v>
      </c>
      <c r="N26" s="19">
        <f>K26*Assumptions!$C$17</f>
        <v>59.445166666666665</v>
      </c>
      <c r="O26" s="19">
        <f>K26*Assumptions!$C$18</f>
        <v>33.968666666666664</v>
      </c>
      <c r="P26" s="20">
        <f t="shared" si="1"/>
        <v>762.70966666666652</v>
      </c>
      <c r="Q26" s="19">
        <f>(K26+P26)*Assumptions!$C$19</f>
        <v>393.78287999999992</v>
      </c>
      <c r="R26" s="19">
        <f>(Assumptions!$C$26+Assumptions!$C$27+Assumptions!$C$28+Assumptions!$C$29)/12</f>
        <v>71.666666666666671</v>
      </c>
      <c r="S26" s="20">
        <f t="shared" si="2"/>
        <v>2926.5925466666658</v>
      </c>
    </row>
    <row r="27" spans="2:19" ht="15" customHeight="1" x14ac:dyDescent="0.25">
      <c r="B27" s="12">
        <v>23</v>
      </c>
      <c r="C27" s="3" t="s">
        <v>106</v>
      </c>
      <c r="D27" s="12" t="s">
        <v>107</v>
      </c>
      <c r="E27" s="10">
        <v>0.12</v>
      </c>
      <c r="F27" s="12" t="s">
        <v>101</v>
      </c>
      <c r="G27" s="11">
        <v>130</v>
      </c>
      <c r="H27" s="13">
        <f>G27*Assumptions!$C$6</f>
        <v>936</v>
      </c>
      <c r="I27" s="13">
        <f>Assumptions!$C$24/12</f>
        <v>233.33333333333334</v>
      </c>
      <c r="J27" s="13">
        <f>(H27+I27)*Assumptions!$C$25</f>
        <v>17.54</v>
      </c>
      <c r="K27" s="14">
        <f t="shared" si="0"/>
        <v>1186.8733333333332</v>
      </c>
      <c r="L27" s="13">
        <f>K27*Assumptions!$C$15</f>
        <v>296.71833333333331</v>
      </c>
      <c r="M27" s="13">
        <f>E27*Assumptions!$C$11*100*Assumptions!$C$16</f>
        <v>202.5</v>
      </c>
      <c r="N27" s="13">
        <f>K27*Assumptions!$C$17</f>
        <v>41.540566666666663</v>
      </c>
      <c r="O27" s="13">
        <f>K27*Assumptions!$C$18</f>
        <v>23.737466666666666</v>
      </c>
      <c r="P27" s="14">
        <f t="shared" si="1"/>
        <v>564.49636666666663</v>
      </c>
      <c r="Q27" s="13">
        <f>(K27+P27)*Assumptions!$C$19</f>
        <v>280.21915199999995</v>
      </c>
      <c r="R27" s="13">
        <f>(Assumptions!$C$26+Assumptions!$C$27+Assumptions!$C$28+Assumptions!$C$29)/12</f>
        <v>71.666666666666671</v>
      </c>
      <c r="S27" s="14">
        <f t="shared" si="2"/>
        <v>2103.2555186666664</v>
      </c>
    </row>
    <row r="28" spans="2:19" ht="15" customHeight="1" x14ac:dyDescent="0.25">
      <c r="B28" s="15">
        <v>24</v>
      </c>
      <c r="C28" s="16" t="s">
        <v>108</v>
      </c>
      <c r="D28" s="15" t="s">
        <v>107</v>
      </c>
      <c r="E28" s="17">
        <v>0.115</v>
      </c>
      <c r="F28" s="15" t="s">
        <v>101</v>
      </c>
      <c r="G28" s="18">
        <v>110</v>
      </c>
      <c r="H28" s="19">
        <f>G28*Assumptions!$C$6</f>
        <v>792</v>
      </c>
      <c r="I28" s="19">
        <f>Assumptions!$C$24/12</f>
        <v>233.33333333333334</v>
      </c>
      <c r="J28" s="19">
        <f>(H28+I28)*Assumptions!$C$25</f>
        <v>15.379999999999999</v>
      </c>
      <c r="K28" s="20">
        <f t="shared" si="0"/>
        <v>1040.7133333333334</v>
      </c>
      <c r="L28" s="19">
        <f>K28*Assumptions!$C$15</f>
        <v>260.17833333333334</v>
      </c>
      <c r="M28" s="19">
        <f>E28*Assumptions!$C$11*100*Assumptions!$C$16</f>
        <v>194.0625</v>
      </c>
      <c r="N28" s="19">
        <f>K28*Assumptions!$C$17</f>
        <v>36.42496666666667</v>
      </c>
      <c r="O28" s="19">
        <f>K28*Assumptions!$C$18</f>
        <v>20.814266666666668</v>
      </c>
      <c r="P28" s="20">
        <f t="shared" si="1"/>
        <v>511.48006666666663</v>
      </c>
      <c r="Q28" s="19">
        <f>(K28+P28)*Assumptions!$C$19</f>
        <v>248.35094400000003</v>
      </c>
      <c r="R28" s="19">
        <f>(Assumptions!$C$26+Assumptions!$C$27+Assumptions!$C$28+Assumptions!$C$29)/12</f>
        <v>71.666666666666671</v>
      </c>
      <c r="S28" s="20">
        <f t="shared" si="2"/>
        <v>1872.2110106666669</v>
      </c>
    </row>
    <row r="29" spans="2:19" ht="15" customHeight="1" x14ac:dyDescent="0.25">
      <c r="B29" s="12">
        <v>25</v>
      </c>
      <c r="C29" s="3" t="s">
        <v>109</v>
      </c>
      <c r="D29" s="12" t="s">
        <v>107</v>
      </c>
      <c r="E29" s="10">
        <v>0.12</v>
      </c>
      <c r="F29" s="12" t="s">
        <v>101</v>
      </c>
      <c r="G29" s="11">
        <v>95</v>
      </c>
      <c r="H29" s="13">
        <f>G29*Assumptions!$C$6</f>
        <v>684</v>
      </c>
      <c r="I29" s="13">
        <f>Assumptions!$C$23/12</f>
        <v>54.166666666666664</v>
      </c>
      <c r="J29" s="13">
        <f>(H29+I29)*Assumptions!$C$25</f>
        <v>11.0725</v>
      </c>
      <c r="K29" s="14">
        <f t="shared" si="0"/>
        <v>749.23916666666662</v>
      </c>
      <c r="L29" s="13">
        <f>K29*Assumptions!$C$15</f>
        <v>187.30979166666665</v>
      </c>
      <c r="M29" s="13">
        <f>E29*Assumptions!$C$11*100*Assumptions!$C$16</f>
        <v>202.5</v>
      </c>
      <c r="N29" s="13">
        <f>K29*Assumptions!$C$17</f>
        <v>26.223370833333334</v>
      </c>
      <c r="O29" s="13">
        <f>K29*Assumptions!$C$18</f>
        <v>14.984783333333333</v>
      </c>
      <c r="P29" s="14">
        <f t="shared" si="1"/>
        <v>431.01794583333333</v>
      </c>
      <c r="Q29" s="13">
        <f>(K29+P29)*Assumptions!$C$19</f>
        <v>188.841138</v>
      </c>
      <c r="R29" s="13">
        <f>(Assumptions!$C$26+Assumptions!$C$27+Assumptions!$C$28+Assumptions!$C$29)/12</f>
        <v>71.666666666666671</v>
      </c>
      <c r="S29" s="14">
        <f t="shared" si="2"/>
        <v>1440.7649171666667</v>
      </c>
    </row>
    <row r="30" spans="2:19" ht="15" customHeight="1" x14ac:dyDescent="0.25">
      <c r="B30" s="15">
        <v>26</v>
      </c>
      <c r="C30" s="16" t="s">
        <v>110</v>
      </c>
      <c r="D30" s="15" t="s">
        <v>107</v>
      </c>
      <c r="E30" s="17">
        <v>0.12</v>
      </c>
      <c r="F30" s="15" t="s">
        <v>101</v>
      </c>
      <c r="G30" s="18">
        <v>140</v>
      </c>
      <c r="H30" s="19">
        <f>G30*Assumptions!$C$6</f>
        <v>1008</v>
      </c>
      <c r="I30" s="19">
        <f>Assumptions!$C$24/12</f>
        <v>233.33333333333334</v>
      </c>
      <c r="J30" s="19">
        <f>(H30+I30)*Assumptions!$C$25</f>
        <v>18.619999999999997</v>
      </c>
      <c r="K30" s="20">
        <f t="shared" si="0"/>
        <v>1259.9533333333331</v>
      </c>
      <c r="L30" s="19">
        <f>K30*Assumptions!$C$15</f>
        <v>314.98833333333329</v>
      </c>
      <c r="M30" s="19">
        <f>E30*Assumptions!$C$11*100*Assumptions!$C$16</f>
        <v>202.5</v>
      </c>
      <c r="N30" s="19">
        <f>K30*Assumptions!$C$17</f>
        <v>44.098366666666664</v>
      </c>
      <c r="O30" s="19">
        <f>K30*Assumptions!$C$18</f>
        <v>25.199066666666663</v>
      </c>
      <c r="P30" s="20">
        <f t="shared" si="1"/>
        <v>586.78576666666652</v>
      </c>
      <c r="Q30" s="19">
        <f>(K30+P30)*Assumptions!$C$19</f>
        <v>295.47825599999999</v>
      </c>
      <c r="R30" s="19">
        <f>(Assumptions!$C$26+Assumptions!$C$27+Assumptions!$C$28+Assumptions!$C$29)/12</f>
        <v>71.666666666666671</v>
      </c>
      <c r="S30" s="20">
        <f t="shared" si="2"/>
        <v>2213.8840226666662</v>
      </c>
    </row>
  </sheetData>
  <mergeCells count="1">
    <mergeCell ref="C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5"/>
  <sheetViews>
    <sheetView topLeftCell="A9" zoomScaleNormal="100" workbookViewId="0">
      <selection activeCell="E25" sqref="E25"/>
    </sheetView>
  </sheetViews>
  <sheetFormatPr defaultColWidth="8.7109375" defaultRowHeight="15" x14ac:dyDescent="0.25"/>
  <cols>
    <col min="1" max="1" width="3" customWidth="1"/>
    <col min="2" max="2" width="38" customWidth="1"/>
    <col min="3" max="3" width="20" customWidth="1"/>
    <col min="4" max="4" width="18" customWidth="1"/>
    <col min="5" max="5" width="38" customWidth="1"/>
  </cols>
  <sheetData>
    <row r="2" spans="1:5" ht="15.75" customHeight="1" x14ac:dyDescent="0.25">
      <c r="B2" s="55" t="s">
        <v>111</v>
      </c>
      <c r="C2" s="55"/>
      <c r="D2" s="55"/>
    </row>
    <row r="4" spans="1:5" ht="15" customHeight="1" x14ac:dyDescent="0.25">
      <c r="A4" s="2"/>
      <c r="B4" s="2" t="s">
        <v>112</v>
      </c>
      <c r="C4" s="2" t="s">
        <v>113</v>
      </c>
      <c r="D4" s="2" t="s">
        <v>114</v>
      </c>
      <c r="E4" s="2" t="s">
        <v>5</v>
      </c>
    </row>
    <row r="5" spans="1:5" ht="15" customHeight="1" x14ac:dyDescent="0.25">
      <c r="B5" s="1" t="s">
        <v>115</v>
      </c>
      <c r="E5" s="21"/>
    </row>
    <row r="6" spans="1:5" ht="15" customHeight="1" x14ac:dyDescent="0.25">
      <c r="B6" s="3" t="s">
        <v>116</v>
      </c>
      <c r="C6" s="7">
        <v>450000</v>
      </c>
      <c r="D6" s="13">
        <f>C6/Assumptions!$C$10</f>
        <v>6.8181818181818183</v>
      </c>
      <c r="E6" s="5" t="s">
        <v>117</v>
      </c>
    </row>
    <row r="7" spans="1:5" ht="15" customHeight="1" x14ac:dyDescent="0.25">
      <c r="B7" s="3" t="s">
        <v>118</v>
      </c>
      <c r="C7" s="7">
        <v>360000</v>
      </c>
      <c r="D7" s="13">
        <f>C7/Assumptions!$C$10</f>
        <v>5.4545454545454541</v>
      </c>
      <c r="E7" s="5" t="s">
        <v>119</v>
      </c>
    </row>
    <row r="8" spans="1:5" ht="15" customHeight="1" x14ac:dyDescent="0.25">
      <c r="B8" s="3" t="s">
        <v>120</v>
      </c>
      <c r="C8" s="7">
        <v>120000</v>
      </c>
      <c r="D8" s="13">
        <f>C8/Assumptions!$C$10</f>
        <v>1.8181818181818181</v>
      </c>
      <c r="E8" s="5" t="s">
        <v>121</v>
      </c>
    </row>
    <row r="9" spans="1:5" ht="15" customHeight="1" x14ac:dyDescent="0.25">
      <c r="B9" s="3" t="s">
        <v>122</v>
      </c>
      <c r="C9" s="7">
        <v>80000</v>
      </c>
      <c r="D9" s="13">
        <f>C9/Assumptions!$C$10</f>
        <v>1.2121212121212122</v>
      </c>
      <c r="E9" s="5"/>
    </row>
    <row r="10" spans="1:5" ht="15" customHeight="1" x14ac:dyDescent="0.25">
      <c r="B10" s="3" t="s">
        <v>123</v>
      </c>
      <c r="C10" s="7">
        <v>200000</v>
      </c>
      <c r="D10" s="13">
        <f>C10/Assumptions!$C$10</f>
        <v>3.0303030303030303</v>
      </c>
      <c r="E10" s="5" t="s">
        <v>124</v>
      </c>
    </row>
    <row r="11" spans="1:5" ht="15" customHeight="1" x14ac:dyDescent="0.25">
      <c r="B11" s="22" t="s">
        <v>125</v>
      </c>
      <c r="C11" s="23">
        <f>SUM(C6:C10)</f>
        <v>1210000</v>
      </c>
      <c r="D11" s="24">
        <f>C11/Assumptions!$C$10</f>
        <v>18.333333333333332</v>
      </c>
      <c r="E11" s="25"/>
    </row>
    <row r="13" spans="1:5" ht="15" customHeight="1" x14ac:dyDescent="0.25">
      <c r="B13" s="1" t="s">
        <v>126</v>
      </c>
      <c r="E13" s="21"/>
    </row>
    <row r="14" spans="1:5" ht="15" customHeight="1" x14ac:dyDescent="0.25">
      <c r="B14" s="3" t="s">
        <v>127</v>
      </c>
      <c r="C14" s="7">
        <v>1200000</v>
      </c>
      <c r="D14" s="13">
        <f>C14/Assumptions!$C$10</f>
        <v>18.181818181818183</v>
      </c>
      <c r="E14" s="5" t="s">
        <v>128</v>
      </c>
    </row>
    <row r="15" spans="1:5" ht="15" customHeight="1" x14ac:dyDescent="0.25">
      <c r="B15" s="3" t="s">
        <v>129</v>
      </c>
      <c r="C15" s="7">
        <v>400000</v>
      </c>
      <c r="D15" s="13">
        <f>C15/Assumptions!$C$10</f>
        <v>6.0606060606060606</v>
      </c>
      <c r="E15" s="5" t="s">
        <v>130</v>
      </c>
    </row>
    <row r="16" spans="1:5" ht="15" customHeight="1" x14ac:dyDescent="0.25">
      <c r="B16" s="3" t="s">
        <v>131</v>
      </c>
      <c r="C16" s="7">
        <v>250000</v>
      </c>
      <c r="D16" s="13">
        <f>C16/Assumptions!$C$10</f>
        <v>3.7878787878787881</v>
      </c>
      <c r="E16" s="5" t="s">
        <v>132</v>
      </c>
    </row>
    <row r="17" spans="2:5" ht="15" customHeight="1" x14ac:dyDescent="0.25">
      <c r="B17" s="3" t="s">
        <v>133</v>
      </c>
      <c r="C17" s="7">
        <v>150000</v>
      </c>
      <c r="D17" s="13">
        <f>C17/Assumptions!$C$10</f>
        <v>2.2727272727272729</v>
      </c>
      <c r="E17" s="5" t="s">
        <v>134</v>
      </c>
    </row>
    <row r="18" spans="2:5" ht="15" customHeight="1" x14ac:dyDescent="0.25">
      <c r="B18" s="22" t="s">
        <v>135</v>
      </c>
      <c r="C18" s="23">
        <f>SUM(C14:C17)</f>
        <v>2000000</v>
      </c>
      <c r="D18" s="24">
        <f>C18/Assumptions!$C$10</f>
        <v>30.303030303030305</v>
      </c>
      <c r="E18" s="25"/>
    </row>
    <row r="20" spans="2:5" ht="15" customHeight="1" x14ac:dyDescent="0.25">
      <c r="B20" s="1" t="s">
        <v>136</v>
      </c>
      <c r="E20" s="21"/>
    </row>
    <row r="21" spans="2:5" ht="15" customHeight="1" x14ac:dyDescent="0.25">
      <c r="B21" s="3" t="s">
        <v>137</v>
      </c>
      <c r="C21" s="7">
        <v>600000</v>
      </c>
      <c r="D21" s="13">
        <f>C21/Assumptions!$C$10</f>
        <v>9.0909090909090917</v>
      </c>
      <c r="E21" s="5" t="s">
        <v>138</v>
      </c>
    </row>
    <row r="22" spans="2:5" ht="15" customHeight="1" x14ac:dyDescent="0.25">
      <c r="B22" s="3" t="s">
        <v>139</v>
      </c>
      <c r="C22" s="7">
        <v>180000</v>
      </c>
      <c r="D22" s="13">
        <f>C22/Assumptions!$C$10</f>
        <v>2.7272727272727271</v>
      </c>
      <c r="E22" s="5"/>
    </row>
    <row r="23" spans="2:5" ht="15" customHeight="1" x14ac:dyDescent="0.25">
      <c r="B23" s="3" t="s">
        <v>140</v>
      </c>
      <c r="C23" s="7">
        <v>280000</v>
      </c>
      <c r="D23" s="13">
        <f>C23/Assumptions!$C$10</f>
        <v>4.2424242424242422</v>
      </c>
      <c r="E23" s="5" t="s">
        <v>141</v>
      </c>
    </row>
    <row r="24" spans="2:5" ht="15" customHeight="1" x14ac:dyDescent="0.25">
      <c r="B24" s="3" t="s">
        <v>142</v>
      </c>
      <c r="C24" s="7">
        <v>80000</v>
      </c>
      <c r="D24" s="13">
        <f>C24/Assumptions!$C$10</f>
        <v>1.2121212121212122</v>
      </c>
      <c r="E24" s="5" t="s">
        <v>143</v>
      </c>
    </row>
    <row r="25" spans="2:5" ht="15" customHeight="1" x14ac:dyDescent="0.25">
      <c r="B25" s="3" t="s">
        <v>144</v>
      </c>
      <c r="C25" s="7">
        <v>60000</v>
      </c>
      <c r="D25" s="13">
        <f>C25/Assumptions!$C$10</f>
        <v>0.90909090909090906</v>
      </c>
      <c r="E25" s="5" t="s">
        <v>145</v>
      </c>
    </row>
    <row r="26" spans="2:5" ht="15" customHeight="1" x14ac:dyDescent="0.25">
      <c r="B26" s="3" t="s">
        <v>146</v>
      </c>
      <c r="C26" s="7">
        <v>50000</v>
      </c>
      <c r="D26" s="13">
        <f>C26/Assumptions!$C$10</f>
        <v>0.75757575757575757</v>
      </c>
      <c r="E26" s="5"/>
    </row>
    <row r="27" spans="2:5" ht="15" customHeight="1" x14ac:dyDescent="0.25">
      <c r="B27" s="22" t="s">
        <v>147</v>
      </c>
      <c r="C27" s="23">
        <f>SUM(C21:C26)</f>
        <v>1250000</v>
      </c>
      <c r="D27" s="24">
        <f>C27/Assumptions!$C$10</f>
        <v>18.939393939393938</v>
      </c>
      <c r="E27" s="25"/>
    </row>
    <row r="29" spans="2:5" ht="15" customHeight="1" x14ac:dyDescent="0.25">
      <c r="B29" s="1" t="s">
        <v>148</v>
      </c>
      <c r="E29" s="21"/>
    </row>
    <row r="30" spans="2:5" ht="15" customHeight="1" x14ac:dyDescent="0.25">
      <c r="B30" s="3" t="s">
        <v>149</v>
      </c>
      <c r="C30" s="7">
        <v>350000</v>
      </c>
      <c r="D30" s="13">
        <f>C30/Assumptions!$C$10</f>
        <v>5.3030303030303028</v>
      </c>
      <c r="E30" s="5" t="s">
        <v>150</v>
      </c>
    </row>
    <row r="31" spans="2:5" ht="15" customHeight="1" x14ac:dyDescent="0.25">
      <c r="B31" s="3" t="s">
        <v>151</v>
      </c>
      <c r="C31" s="7">
        <v>200000</v>
      </c>
      <c r="D31" s="13">
        <f>C31/Assumptions!$C$10</f>
        <v>3.0303030303030303</v>
      </c>
      <c r="E31" s="5" t="s">
        <v>152</v>
      </c>
    </row>
    <row r="32" spans="2:5" ht="15" customHeight="1" x14ac:dyDescent="0.25">
      <c r="B32" s="3" t="s">
        <v>153</v>
      </c>
      <c r="C32" s="7">
        <v>150000</v>
      </c>
      <c r="D32" s="13">
        <f>C32/Assumptions!$C$10</f>
        <v>2.2727272727272729</v>
      </c>
      <c r="E32" s="5" t="s">
        <v>154</v>
      </c>
    </row>
    <row r="33" spans="2:5" ht="15" customHeight="1" x14ac:dyDescent="0.25">
      <c r="B33" s="22" t="s">
        <v>155</v>
      </c>
      <c r="C33" s="23">
        <f>SUM(C30:C32)</f>
        <v>700000</v>
      </c>
      <c r="D33" s="24">
        <f>C33/Assumptions!$C$10</f>
        <v>10.606060606060606</v>
      </c>
      <c r="E33" s="25"/>
    </row>
    <row r="35" spans="2:5" ht="15" customHeight="1" x14ac:dyDescent="0.25">
      <c r="B35" s="26" t="s">
        <v>156</v>
      </c>
      <c r="C35" s="27">
        <f>C11+C18+C27+C33</f>
        <v>5160000</v>
      </c>
      <c r="D35" s="28">
        <f>C35/Assumptions!$C$10</f>
        <v>78.181818181818187</v>
      </c>
      <c r="E35" s="29"/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31"/>
  <sheetViews>
    <sheetView zoomScaleNormal="100" workbookViewId="0">
      <selection activeCell="E6" sqref="E6"/>
    </sheetView>
  </sheetViews>
  <sheetFormatPr defaultColWidth="8.7109375" defaultRowHeight="15" x14ac:dyDescent="0.25"/>
  <cols>
    <col min="1" max="1" width="3" customWidth="1"/>
    <col min="2" max="2" width="5" customWidth="1"/>
    <col min="3" max="3" width="28" customWidth="1"/>
    <col min="4" max="4" width="10" customWidth="1"/>
    <col min="5" max="6" width="14" customWidth="1"/>
    <col min="7" max="7" width="10" customWidth="1"/>
    <col min="8" max="11" width="14" customWidth="1"/>
    <col min="12" max="12" width="10" customWidth="1"/>
    <col min="13" max="14" width="14" customWidth="1"/>
  </cols>
  <sheetData>
    <row r="2" spans="1:14" ht="15.75" customHeight="1" x14ac:dyDescent="0.25">
      <c r="C2" s="55" t="s">
        <v>157</v>
      </c>
      <c r="D2" s="55"/>
      <c r="E2" s="55"/>
      <c r="F2" s="55"/>
      <c r="G2" s="55"/>
      <c r="H2" s="55"/>
      <c r="I2" s="55"/>
      <c r="J2" s="55"/>
      <c r="K2" s="55"/>
    </row>
    <row r="3" spans="1:14" ht="15" customHeight="1" x14ac:dyDescent="0.25">
      <c r="C3" s="30" t="s">
        <v>158</v>
      </c>
      <c r="G3" s="31">
        <f>'Operating Expenses'!D35</f>
        <v>78.181818181818187</v>
      </c>
    </row>
    <row r="5" spans="1:14" ht="46.5" customHeight="1" x14ac:dyDescent="0.25">
      <c r="A5" s="2"/>
      <c r="B5" s="2" t="s">
        <v>60</v>
      </c>
      <c r="C5" s="2" t="s">
        <v>61</v>
      </c>
      <c r="D5" s="2" t="s">
        <v>64</v>
      </c>
      <c r="E5" s="2" t="s">
        <v>159</v>
      </c>
      <c r="F5" s="2" t="s">
        <v>160</v>
      </c>
      <c r="G5" s="2" t="s">
        <v>161</v>
      </c>
      <c r="H5" s="2" t="s">
        <v>162</v>
      </c>
      <c r="I5" s="2" t="s">
        <v>163</v>
      </c>
      <c r="J5" s="2" t="s">
        <v>164</v>
      </c>
      <c r="K5" s="2" t="s">
        <v>165</v>
      </c>
      <c r="L5" s="2" t="s">
        <v>166</v>
      </c>
      <c r="M5" s="2" t="s">
        <v>167</v>
      </c>
      <c r="N5" s="2" t="s">
        <v>168</v>
      </c>
    </row>
    <row r="6" spans="1:14" ht="15" customHeight="1" x14ac:dyDescent="0.25">
      <c r="B6" s="12">
        <v>1</v>
      </c>
      <c r="C6" s="3" t="s">
        <v>78</v>
      </c>
      <c r="D6" s="12" t="s">
        <v>80</v>
      </c>
      <c r="E6" s="32">
        <f>'Product Catalog &amp; Landed Cost'!S5</f>
        <v>719.1289403666666</v>
      </c>
      <c r="F6" s="32">
        <f t="shared" ref="F6:F31" si="0">$G$3</f>
        <v>78.181818181818187</v>
      </c>
      <c r="G6" s="33">
        <v>0.25</v>
      </c>
      <c r="H6" s="14">
        <f t="shared" ref="H6:H31" si="1">(E6+F6)/(1-G6)</f>
        <v>1063.0810113979796</v>
      </c>
      <c r="I6" s="13">
        <f t="shared" ref="I6:I31" si="2">H6*1.15</f>
        <v>1222.5431631076765</v>
      </c>
      <c r="J6" s="13">
        <f t="shared" ref="J6:J31" si="3">H6*1.3</f>
        <v>1382.0053148173736</v>
      </c>
      <c r="K6" s="13">
        <f t="shared" ref="K6:K31" si="4">H6-E6-F6</f>
        <v>265.77025284949485</v>
      </c>
      <c r="L6" s="34">
        <f t="shared" ref="L6:L31" si="5">K6/H6</f>
        <v>0.24999999999999994</v>
      </c>
      <c r="M6" s="9">
        <f t="shared" ref="M6:M31" si="6">H6*12</f>
        <v>12756.972136775756</v>
      </c>
      <c r="N6" s="9">
        <f t="shared" ref="N6:N31" si="7">I6*12</f>
        <v>14670.517957292119</v>
      </c>
    </row>
    <row r="7" spans="1:14" ht="15" customHeight="1" x14ac:dyDescent="0.25">
      <c r="B7" s="15">
        <v>2</v>
      </c>
      <c r="C7" s="16" t="s">
        <v>81</v>
      </c>
      <c r="D7" s="15" t="s">
        <v>80</v>
      </c>
      <c r="E7" s="35">
        <f>'Product Catalog &amp; Landed Cost'!S6</f>
        <v>687.21573956666668</v>
      </c>
      <c r="F7" s="35">
        <f t="shared" si="0"/>
        <v>78.181818181818187</v>
      </c>
      <c r="G7" s="17">
        <v>0.25</v>
      </c>
      <c r="H7" s="20">
        <f t="shared" si="1"/>
        <v>1020.5300769979798</v>
      </c>
      <c r="I7" s="19">
        <f t="shared" si="2"/>
        <v>1173.6095885476766</v>
      </c>
      <c r="J7" s="19">
        <f t="shared" si="3"/>
        <v>1326.6891000973737</v>
      </c>
      <c r="K7" s="19">
        <f t="shared" si="4"/>
        <v>255.13251924949492</v>
      </c>
      <c r="L7" s="36">
        <f t="shared" si="5"/>
        <v>0.24999999999999997</v>
      </c>
      <c r="M7" s="37">
        <f t="shared" si="6"/>
        <v>12246.360923975757</v>
      </c>
      <c r="N7" s="37">
        <f t="shared" si="7"/>
        <v>14083.315062572119</v>
      </c>
    </row>
    <row r="8" spans="1:14" ht="15" customHeight="1" x14ac:dyDescent="0.25">
      <c r="B8" s="12">
        <v>3</v>
      </c>
      <c r="C8" s="3" t="s">
        <v>83</v>
      </c>
      <c r="D8" s="12" t="s">
        <v>80</v>
      </c>
      <c r="E8" s="32">
        <f>'Product Catalog &amp; Landed Cost'!S7</f>
        <v>688.49108996666666</v>
      </c>
      <c r="F8" s="32">
        <f t="shared" si="0"/>
        <v>78.181818181818187</v>
      </c>
      <c r="G8" s="33">
        <v>0.25</v>
      </c>
      <c r="H8" s="14">
        <f t="shared" si="1"/>
        <v>1022.2305441979797</v>
      </c>
      <c r="I8" s="13">
        <f t="shared" si="2"/>
        <v>1175.5651258276766</v>
      </c>
      <c r="J8" s="13">
        <f t="shared" si="3"/>
        <v>1328.8997074573738</v>
      </c>
      <c r="K8" s="13">
        <f t="shared" si="4"/>
        <v>255.55763604949487</v>
      </c>
      <c r="L8" s="34">
        <f t="shared" si="5"/>
        <v>0.24999999999999994</v>
      </c>
      <c r="M8" s="9">
        <f t="shared" si="6"/>
        <v>12266.766530375757</v>
      </c>
      <c r="N8" s="9">
        <f t="shared" si="7"/>
        <v>14106.78150993212</v>
      </c>
    </row>
    <row r="9" spans="1:14" ht="15" customHeight="1" x14ac:dyDescent="0.25">
      <c r="B9" s="15">
        <v>4</v>
      </c>
      <c r="C9" s="16" t="s">
        <v>85</v>
      </c>
      <c r="D9" s="15" t="s">
        <v>80</v>
      </c>
      <c r="E9" s="35">
        <f>'Product Catalog &amp; Landed Cost'!S8</f>
        <v>806.35639316666663</v>
      </c>
      <c r="F9" s="35">
        <f t="shared" si="0"/>
        <v>78.181818181818187</v>
      </c>
      <c r="G9" s="17">
        <v>0.25</v>
      </c>
      <c r="H9" s="20">
        <f t="shared" si="1"/>
        <v>1179.3842817979796</v>
      </c>
      <c r="I9" s="19">
        <f t="shared" si="2"/>
        <v>1356.2919240676765</v>
      </c>
      <c r="J9" s="19">
        <f t="shared" si="3"/>
        <v>1533.1995663373737</v>
      </c>
      <c r="K9" s="19">
        <f t="shared" si="4"/>
        <v>294.84607044949479</v>
      </c>
      <c r="L9" s="36">
        <f t="shared" si="5"/>
        <v>0.24999999999999992</v>
      </c>
      <c r="M9" s="37">
        <f t="shared" si="6"/>
        <v>14152.611381575756</v>
      </c>
      <c r="N9" s="37">
        <f t="shared" si="7"/>
        <v>16275.503088812118</v>
      </c>
    </row>
    <row r="10" spans="1:14" ht="15" customHeight="1" x14ac:dyDescent="0.25">
      <c r="B10" s="12">
        <v>5</v>
      </c>
      <c r="C10" s="3" t="s">
        <v>86</v>
      </c>
      <c r="D10" s="12" t="s">
        <v>80</v>
      </c>
      <c r="E10" s="32">
        <f>'Product Catalog &amp; Landed Cost'!S9</f>
        <v>774.44319236666661</v>
      </c>
      <c r="F10" s="32">
        <f t="shared" si="0"/>
        <v>78.181818181818187</v>
      </c>
      <c r="G10" s="33">
        <v>0.25</v>
      </c>
      <c r="H10" s="14">
        <f t="shared" si="1"/>
        <v>1136.8333473979799</v>
      </c>
      <c r="I10" s="13">
        <f t="shared" si="2"/>
        <v>1307.3583495076768</v>
      </c>
      <c r="J10" s="13">
        <f t="shared" si="3"/>
        <v>1477.8833516173738</v>
      </c>
      <c r="K10" s="13">
        <f t="shared" si="4"/>
        <v>284.20833684949508</v>
      </c>
      <c r="L10" s="34">
        <f t="shared" si="5"/>
        <v>0.25000000000000011</v>
      </c>
      <c r="M10" s="9">
        <f t="shared" si="6"/>
        <v>13642.000168775758</v>
      </c>
      <c r="N10" s="9">
        <f t="shared" si="7"/>
        <v>15688.300194092122</v>
      </c>
    </row>
    <row r="11" spans="1:14" ht="15" customHeight="1" x14ac:dyDescent="0.25">
      <c r="B11" s="15">
        <v>6</v>
      </c>
      <c r="C11" s="16" t="s">
        <v>87</v>
      </c>
      <c r="D11" s="15" t="s">
        <v>80</v>
      </c>
      <c r="E11" s="35">
        <f>'Product Catalog &amp; Landed Cost'!S10</f>
        <v>753.5928419666667</v>
      </c>
      <c r="F11" s="35">
        <f t="shared" si="0"/>
        <v>78.181818181818187</v>
      </c>
      <c r="G11" s="17">
        <v>0.25</v>
      </c>
      <c r="H11" s="20">
        <f t="shared" si="1"/>
        <v>1109.0328801979797</v>
      </c>
      <c r="I11" s="19">
        <f t="shared" si="2"/>
        <v>1275.3878122276765</v>
      </c>
      <c r="J11" s="19">
        <f t="shared" si="3"/>
        <v>1441.7427442573737</v>
      </c>
      <c r="K11" s="19">
        <f t="shared" si="4"/>
        <v>277.25822004949481</v>
      </c>
      <c r="L11" s="36">
        <f t="shared" si="5"/>
        <v>0.24999999999999989</v>
      </c>
      <c r="M11" s="37">
        <f t="shared" si="6"/>
        <v>13308.394562375757</v>
      </c>
      <c r="N11" s="37">
        <f t="shared" si="7"/>
        <v>15304.653746732118</v>
      </c>
    </row>
    <row r="12" spans="1:14" ht="15" customHeight="1" x14ac:dyDescent="0.25">
      <c r="B12" s="12">
        <v>7</v>
      </c>
      <c r="C12" s="3" t="s">
        <v>88</v>
      </c>
      <c r="D12" s="12" t="s">
        <v>80</v>
      </c>
      <c r="E12" s="32">
        <f>'Product Catalog &amp; Landed Cost'!S11</f>
        <v>849.33244436666666</v>
      </c>
      <c r="F12" s="32">
        <f t="shared" si="0"/>
        <v>78.181818181818187</v>
      </c>
      <c r="G12" s="33">
        <v>0.25</v>
      </c>
      <c r="H12" s="14">
        <f t="shared" si="1"/>
        <v>1236.6856833979798</v>
      </c>
      <c r="I12" s="13">
        <f t="shared" si="2"/>
        <v>1422.1885359076766</v>
      </c>
      <c r="J12" s="13">
        <f t="shared" si="3"/>
        <v>1607.6913884173739</v>
      </c>
      <c r="K12" s="13">
        <f t="shared" si="4"/>
        <v>309.17142084949495</v>
      </c>
      <c r="L12" s="34">
        <f t="shared" si="5"/>
        <v>0.25</v>
      </c>
      <c r="M12" s="9">
        <f t="shared" si="6"/>
        <v>14840.228200775757</v>
      </c>
      <c r="N12" s="9">
        <f t="shared" si="7"/>
        <v>17066.262430892119</v>
      </c>
    </row>
    <row r="13" spans="1:14" ht="15" customHeight="1" x14ac:dyDescent="0.25">
      <c r="B13" s="15">
        <v>8</v>
      </c>
      <c r="C13" s="16" t="s">
        <v>89</v>
      </c>
      <c r="D13" s="15" t="s">
        <v>80</v>
      </c>
      <c r="E13" s="35">
        <f>'Product Catalog &amp; Landed Cost'!S12</f>
        <v>807.63174356666661</v>
      </c>
      <c r="F13" s="35">
        <f t="shared" si="0"/>
        <v>78.181818181818187</v>
      </c>
      <c r="G13" s="17">
        <v>0.25</v>
      </c>
      <c r="H13" s="20">
        <f t="shared" si="1"/>
        <v>1181.0847489979797</v>
      </c>
      <c r="I13" s="19">
        <f t="shared" si="2"/>
        <v>1358.2474613476766</v>
      </c>
      <c r="J13" s="19">
        <f t="shared" si="3"/>
        <v>1535.4101736973737</v>
      </c>
      <c r="K13" s="19">
        <f t="shared" si="4"/>
        <v>295.27118724949486</v>
      </c>
      <c r="L13" s="36">
        <f t="shared" si="5"/>
        <v>0.24999999999999994</v>
      </c>
      <c r="M13" s="37">
        <f t="shared" si="6"/>
        <v>14173.016987975756</v>
      </c>
      <c r="N13" s="37">
        <f t="shared" si="7"/>
        <v>16298.969536172119</v>
      </c>
    </row>
    <row r="14" spans="1:14" ht="15" customHeight="1" x14ac:dyDescent="0.25">
      <c r="B14" s="12">
        <v>9</v>
      </c>
      <c r="C14" s="3" t="s">
        <v>90</v>
      </c>
      <c r="D14" s="12" t="s">
        <v>91</v>
      </c>
      <c r="E14" s="32">
        <f>'Product Catalog &amp; Landed Cost'!S13</f>
        <v>1037.4009011666667</v>
      </c>
      <c r="F14" s="32">
        <f t="shared" si="0"/>
        <v>78.181818181818187</v>
      </c>
      <c r="G14" s="33">
        <v>0.3</v>
      </c>
      <c r="H14" s="14">
        <f t="shared" si="1"/>
        <v>1593.6895990692642</v>
      </c>
      <c r="I14" s="13">
        <f t="shared" si="2"/>
        <v>1832.7430389296537</v>
      </c>
      <c r="J14" s="13">
        <f t="shared" si="3"/>
        <v>2071.7964787900437</v>
      </c>
      <c r="K14" s="13">
        <f t="shared" si="4"/>
        <v>478.10687972077932</v>
      </c>
      <c r="L14" s="34">
        <f t="shared" si="5"/>
        <v>0.30000000000000004</v>
      </c>
      <c r="M14" s="9">
        <f t="shared" si="6"/>
        <v>19124.275188831169</v>
      </c>
      <c r="N14" s="9">
        <f t="shared" si="7"/>
        <v>21992.916467155846</v>
      </c>
    </row>
    <row r="15" spans="1:14" ht="15" customHeight="1" x14ac:dyDescent="0.25">
      <c r="B15" s="15">
        <v>10</v>
      </c>
      <c r="C15" s="16" t="s">
        <v>92</v>
      </c>
      <c r="D15" s="15" t="s">
        <v>91</v>
      </c>
      <c r="E15" s="35">
        <f>'Product Catalog &amp; Landed Cost'!S14</f>
        <v>994.42484996666667</v>
      </c>
      <c r="F15" s="35">
        <f t="shared" si="0"/>
        <v>78.181818181818187</v>
      </c>
      <c r="G15" s="17">
        <v>0.3</v>
      </c>
      <c r="H15" s="20">
        <f t="shared" si="1"/>
        <v>1532.2952402121214</v>
      </c>
      <c r="I15" s="19">
        <f t="shared" si="2"/>
        <v>1762.1395262439394</v>
      </c>
      <c r="J15" s="19">
        <f t="shared" si="3"/>
        <v>1991.9838122757578</v>
      </c>
      <c r="K15" s="19">
        <f t="shared" si="4"/>
        <v>459.68857206363651</v>
      </c>
      <c r="L15" s="36">
        <f t="shared" si="5"/>
        <v>0.30000000000000004</v>
      </c>
      <c r="M15" s="37">
        <f t="shared" si="6"/>
        <v>18387.542882545458</v>
      </c>
      <c r="N15" s="37">
        <f t="shared" si="7"/>
        <v>21145.674314927273</v>
      </c>
    </row>
    <row r="16" spans="1:14" ht="15" customHeight="1" x14ac:dyDescent="0.25">
      <c r="B16" s="12">
        <v>11</v>
      </c>
      <c r="C16" s="3" t="s">
        <v>93</v>
      </c>
      <c r="D16" s="12" t="s">
        <v>91</v>
      </c>
      <c r="E16" s="32">
        <f>'Product Catalog &amp; Landed Cost'!S15</f>
        <v>940.38594836666675</v>
      </c>
      <c r="F16" s="32">
        <f t="shared" si="0"/>
        <v>78.181818181818187</v>
      </c>
      <c r="G16" s="33">
        <v>0.3</v>
      </c>
      <c r="H16" s="14">
        <f t="shared" si="1"/>
        <v>1455.0968093549786</v>
      </c>
      <c r="I16" s="13">
        <f t="shared" si="2"/>
        <v>1673.3613307582252</v>
      </c>
      <c r="J16" s="13">
        <f t="shared" si="3"/>
        <v>1891.6258521614723</v>
      </c>
      <c r="K16" s="13">
        <f t="shared" si="4"/>
        <v>436.52904280649369</v>
      </c>
      <c r="L16" s="34">
        <f t="shared" si="5"/>
        <v>0.30000000000000004</v>
      </c>
      <c r="M16" s="9">
        <f t="shared" si="6"/>
        <v>17461.161712259745</v>
      </c>
      <c r="N16" s="9">
        <f t="shared" si="7"/>
        <v>20080.335969098702</v>
      </c>
    </row>
    <row r="17" spans="2:14" ht="15" customHeight="1" x14ac:dyDescent="0.25">
      <c r="B17" s="15">
        <v>12</v>
      </c>
      <c r="C17" s="16" t="s">
        <v>94</v>
      </c>
      <c r="D17" s="15" t="s">
        <v>91</v>
      </c>
      <c r="E17" s="35">
        <f>'Product Catalog &amp; Landed Cost'!S16</f>
        <v>952.72414916666662</v>
      </c>
      <c r="F17" s="35">
        <f t="shared" si="0"/>
        <v>78.181818181818187</v>
      </c>
      <c r="G17" s="17">
        <v>0.3</v>
      </c>
      <c r="H17" s="20">
        <f t="shared" si="1"/>
        <v>1472.7228104978356</v>
      </c>
      <c r="I17" s="19">
        <f t="shared" si="2"/>
        <v>1693.6312320725108</v>
      </c>
      <c r="J17" s="19">
        <f t="shared" si="3"/>
        <v>1914.5396536471862</v>
      </c>
      <c r="K17" s="19">
        <f t="shared" si="4"/>
        <v>441.81684314935075</v>
      </c>
      <c r="L17" s="36">
        <f t="shared" si="5"/>
        <v>0.30000000000000004</v>
      </c>
      <c r="M17" s="37">
        <f t="shared" si="6"/>
        <v>17672.673725974026</v>
      </c>
      <c r="N17" s="37">
        <f t="shared" si="7"/>
        <v>20323.574784870128</v>
      </c>
    </row>
    <row r="18" spans="2:14" ht="15" customHeight="1" x14ac:dyDescent="0.25">
      <c r="B18" s="12">
        <v>13</v>
      </c>
      <c r="C18" s="3" t="s">
        <v>95</v>
      </c>
      <c r="D18" s="12" t="s">
        <v>91</v>
      </c>
      <c r="E18" s="32">
        <f>'Product Catalog &amp; Landed Cost'!S17</f>
        <v>1157.8169051666666</v>
      </c>
      <c r="F18" s="32">
        <f t="shared" si="0"/>
        <v>78.181818181818187</v>
      </c>
      <c r="G18" s="33">
        <v>0.3</v>
      </c>
      <c r="H18" s="14">
        <f t="shared" si="1"/>
        <v>1765.7124619264071</v>
      </c>
      <c r="I18" s="13">
        <f t="shared" si="2"/>
        <v>2030.569331215368</v>
      </c>
      <c r="J18" s="13">
        <f t="shared" si="3"/>
        <v>2295.4262005043292</v>
      </c>
      <c r="K18" s="13">
        <f t="shared" si="4"/>
        <v>529.71373857792219</v>
      </c>
      <c r="L18" s="34">
        <f t="shared" si="5"/>
        <v>0.30000000000000004</v>
      </c>
      <c r="M18" s="9">
        <f t="shared" si="6"/>
        <v>21188.549543116886</v>
      </c>
      <c r="N18" s="9">
        <f t="shared" si="7"/>
        <v>24366.831974584416</v>
      </c>
    </row>
    <row r="19" spans="2:14" ht="15" customHeight="1" x14ac:dyDescent="0.25">
      <c r="B19" s="15">
        <v>14</v>
      </c>
      <c r="C19" s="16" t="s">
        <v>96</v>
      </c>
      <c r="D19" s="15" t="s">
        <v>91</v>
      </c>
      <c r="E19" s="35">
        <f>'Product Catalog &amp; Landed Cost'!S18</f>
        <v>887.62239716666659</v>
      </c>
      <c r="F19" s="35">
        <f t="shared" si="0"/>
        <v>78.181818181818187</v>
      </c>
      <c r="G19" s="17">
        <v>0.3</v>
      </c>
      <c r="H19" s="20">
        <f t="shared" si="1"/>
        <v>1379.7203076406927</v>
      </c>
      <c r="I19" s="19">
        <f t="shared" si="2"/>
        <v>1586.6783537867964</v>
      </c>
      <c r="J19" s="19">
        <f t="shared" si="3"/>
        <v>1793.6363999329005</v>
      </c>
      <c r="K19" s="19">
        <f t="shared" si="4"/>
        <v>413.91609229220791</v>
      </c>
      <c r="L19" s="36">
        <f t="shared" si="5"/>
        <v>0.3000000000000001</v>
      </c>
      <c r="M19" s="37">
        <f t="shared" si="6"/>
        <v>16556.64369168831</v>
      </c>
      <c r="N19" s="37">
        <f t="shared" si="7"/>
        <v>19040.140245441558</v>
      </c>
    </row>
    <row r="20" spans="2:14" ht="15" customHeight="1" x14ac:dyDescent="0.25">
      <c r="B20" s="12">
        <v>15</v>
      </c>
      <c r="C20" s="3" t="s">
        <v>97</v>
      </c>
      <c r="D20" s="12" t="s">
        <v>91</v>
      </c>
      <c r="E20" s="32">
        <f>'Product Catalog &amp; Landed Cost'!S19</f>
        <v>1164.1936571666665</v>
      </c>
      <c r="F20" s="32">
        <f t="shared" si="0"/>
        <v>78.181818181818187</v>
      </c>
      <c r="G20" s="33">
        <v>0.3</v>
      </c>
      <c r="H20" s="14">
        <f t="shared" si="1"/>
        <v>1774.8221076406926</v>
      </c>
      <c r="I20" s="13">
        <f t="shared" si="2"/>
        <v>2041.0454237867964</v>
      </c>
      <c r="J20" s="13">
        <f t="shared" si="3"/>
        <v>2307.2687399329006</v>
      </c>
      <c r="K20" s="13">
        <f t="shared" si="4"/>
        <v>532.44663229220782</v>
      </c>
      <c r="L20" s="34">
        <f t="shared" si="5"/>
        <v>0.30000000000000004</v>
      </c>
      <c r="M20" s="9">
        <f t="shared" si="6"/>
        <v>21297.865291688311</v>
      </c>
      <c r="N20" s="9">
        <f t="shared" si="7"/>
        <v>24492.545085441558</v>
      </c>
    </row>
    <row r="21" spans="2:14" ht="15" customHeight="1" x14ac:dyDescent="0.25">
      <c r="B21" s="15">
        <v>16</v>
      </c>
      <c r="C21" s="16" t="s">
        <v>98</v>
      </c>
      <c r="D21" s="15" t="s">
        <v>91</v>
      </c>
      <c r="E21" s="35">
        <f>'Product Catalog &amp; Landed Cost'!S20</f>
        <v>1181.2179563666668</v>
      </c>
      <c r="F21" s="35">
        <f t="shared" si="0"/>
        <v>78.181818181818187</v>
      </c>
      <c r="G21" s="17">
        <v>0.3</v>
      </c>
      <c r="H21" s="20">
        <f t="shared" si="1"/>
        <v>1799.1425350692646</v>
      </c>
      <c r="I21" s="19">
        <f t="shared" si="2"/>
        <v>2069.0139153296541</v>
      </c>
      <c r="J21" s="19">
        <f t="shared" si="3"/>
        <v>2338.8852955900438</v>
      </c>
      <c r="K21" s="19">
        <f t="shared" si="4"/>
        <v>539.74276052077948</v>
      </c>
      <c r="L21" s="36">
        <f t="shared" si="5"/>
        <v>0.30000000000000004</v>
      </c>
      <c r="M21" s="37">
        <f t="shared" si="6"/>
        <v>21589.710420831176</v>
      </c>
      <c r="N21" s="37">
        <f t="shared" si="7"/>
        <v>24828.166983955849</v>
      </c>
    </row>
    <row r="22" spans="2:14" ht="15" customHeight="1" x14ac:dyDescent="0.25">
      <c r="B22" s="12">
        <v>17</v>
      </c>
      <c r="C22" s="3" t="s">
        <v>99</v>
      </c>
      <c r="D22" s="12" t="s">
        <v>91</v>
      </c>
      <c r="E22" s="32">
        <f>'Product Catalog &amp; Landed Cost'!S21</f>
        <v>1239.0829091666667</v>
      </c>
      <c r="F22" s="32">
        <f t="shared" si="0"/>
        <v>78.181818181818187</v>
      </c>
      <c r="G22" s="33">
        <v>0.3</v>
      </c>
      <c r="H22" s="14">
        <f t="shared" si="1"/>
        <v>1881.8067533549786</v>
      </c>
      <c r="I22" s="13">
        <f t="shared" si="2"/>
        <v>2164.0777663582253</v>
      </c>
      <c r="J22" s="13">
        <f t="shared" si="3"/>
        <v>2446.3487793614722</v>
      </c>
      <c r="K22" s="13">
        <f t="shared" si="4"/>
        <v>564.54202600649364</v>
      </c>
      <c r="L22" s="34">
        <f t="shared" si="5"/>
        <v>0.30000000000000004</v>
      </c>
      <c r="M22" s="9">
        <f t="shared" si="6"/>
        <v>22581.681040259744</v>
      </c>
      <c r="N22" s="9">
        <f t="shared" si="7"/>
        <v>25968.933196298705</v>
      </c>
    </row>
    <row r="23" spans="2:14" ht="15" customHeight="1" x14ac:dyDescent="0.25">
      <c r="B23" s="15">
        <v>18</v>
      </c>
      <c r="C23" s="16" t="s">
        <v>100</v>
      </c>
      <c r="D23" s="15" t="s">
        <v>101</v>
      </c>
      <c r="E23" s="35">
        <f>'Product Catalog &amp; Landed Cost'!S22</f>
        <v>2705.3355386666667</v>
      </c>
      <c r="F23" s="35">
        <f t="shared" si="0"/>
        <v>78.181818181818187</v>
      </c>
      <c r="G23" s="17">
        <v>0.35</v>
      </c>
      <c r="H23" s="20">
        <f t="shared" si="1"/>
        <v>4282.3343951515144</v>
      </c>
      <c r="I23" s="19">
        <f t="shared" si="2"/>
        <v>4924.6845544242415</v>
      </c>
      <c r="J23" s="19">
        <f t="shared" si="3"/>
        <v>5567.0347136969685</v>
      </c>
      <c r="K23" s="19">
        <f t="shared" si="4"/>
        <v>1498.8170383030294</v>
      </c>
      <c r="L23" s="36">
        <f t="shared" si="5"/>
        <v>0.34999999999999987</v>
      </c>
      <c r="M23" s="37">
        <f t="shared" si="6"/>
        <v>51388.012741818173</v>
      </c>
      <c r="N23" s="37">
        <f t="shared" si="7"/>
        <v>59096.214653090894</v>
      </c>
    </row>
    <row r="24" spans="2:14" ht="15" customHeight="1" x14ac:dyDescent="0.25">
      <c r="B24" s="12">
        <v>19</v>
      </c>
      <c r="C24" s="3" t="s">
        <v>102</v>
      </c>
      <c r="D24" s="12" t="s">
        <v>101</v>
      </c>
      <c r="E24" s="32">
        <f>'Product Catalog &amp; Landed Cost'!S23</f>
        <v>3469.9475666666663</v>
      </c>
      <c r="F24" s="32">
        <f t="shared" si="0"/>
        <v>78.181818181818187</v>
      </c>
      <c r="G24" s="33">
        <v>0.35</v>
      </c>
      <c r="H24" s="14">
        <f t="shared" si="1"/>
        <v>5458.6605920745906</v>
      </c>
      <c r="I24" s="13">
        <f t="shared" si="2"/>
        <v>6277.4596808857787</v>
      </c>
      <c r="J24" s="13">
        <f t="shared" si="3"/>
        <v>7096.2587696969676</v>
      </c>
      <c r="K24" s="13">
        <f t="shared" si="4"/>
        <v>1910.5312072261061</v>
      </c>
      <c r="L24" s="34">
        <f t="shared" si="5"/>
        <v>0.34999999999999987</v>
      </c>
      <c r="M24" s="9">
        <f t="shared" si="6"/>
        <v>65503.92710489509</v>
      </c>
      <c r="N24" s="9">
        <f t="shared" si="7"/>
        <v>75329.516170629344</v>
      </c>
    </row>
    <row r="25" spans="2:14" ht="15" customHeight="1" x14ac:dyDescent="0.25">
      <c r="B25" s="15">
        <v>20</v>
      </c>
      <c r="C25" s="16" t="s">
        <v>103</v>
      </c>
      <c r="D25" s="15" t="s">
        <v>101</v>
      </c>
      <c r="E25" s="35">
        <f>'Product Catalog &amp; Landed Cost'!S24</f>
        <v>3118.4870546666666</v>
      </c>
      <c r="F25" s="35">
        <f t="shared" si="0"/>
        <v>78.181818181818187</v>
      </c>
      <c r="G25" s="17">
        <v>0.35</v>
      </c>
      <c r="H25" s="20">
        <f t="shared" si="1"/>
        <v>4917.9521120745912</v>
      </c>
      <c r="I25" s="19">
        <f t="shared" si="2"/>
        <v>5655.6449288857793</v>
      </c>
      <c r="J25" s="19">
        <f t="shared" si="3"/>
        <v>6393.3377456969693</v>
      </c>
      <c r="K25" s="19">
        <f t="shared" si="4"/>
        <v>1721.2832392261064</v>
      </c>
      <c r="L25" s="36">
        <f t="shared" si="5"/>
        <v>0.34999999999999987</v>
      </c>
      <c r="M25" s="37">
        <f t="shared" si="6"/>
        <v>59015.425344895091</v>
      </c>
      <c r="N25" s="37">
        <f t="shared" si="7"/>
        <v>67867.739146629348</v>
      </c>
    </row>
    <row r="26" spans="2:14" ht="15" customHeight="1" x14ac:dyDescent="0.25">
      <c r="B26" s="12">
        <v>21</v>
      </c>
      <c r="C26" s="3" t="s">
        <v>104</v>
      </c>
      <c r="D26" s="12" t="s">
        <v>101</v>
      </c>
      <c r="E26" s="32">
        <f>'Product Catalog &amp; Landed Cost'!S25</f>
        <v>4576.2326066666674</v>
      </c>
      <c r="F26" s="32">
        <f t="shared" si="0"/>
        <v>78.181818181818187</v>
      </c>
      <c r="G26" s="33">
        <v>0.35</v>
      </c>
      <c r="H26" s="14">
        <f t="shared" si="1"/>
        <v>7160.6375766899773</v>
      </c>
      <c r="I26" s="13">
        <f t="shared" si="2"/>
        <v>8234.7332131934727</v>
      </c>
      <c r="J26" s="13">
        <f t="shared" si="3"/>
        <v>9308.8288496969708</v>
      </c>
      <c r="K26" s="13">
        <f t="shared" si="4"/>
        <v>2506.2231518414919</v>
      </c>
      <c r="L26" s="34">
        <f t="shared" si="5"/>
        <v>0.35</v>
      </c>
      <c r="M26" s="9">
        <f t="shared" si="6"/>
        <v>85927.650920279732</v>
      </c>
      <c r="N26" s="9">
        <f t="shared" si="7"/>
        <v>98816.798558321665</v>
      </c>
    </row>
    <row r="27" spans="2:14" ht="15" customHeight="1" x14ac:dyDescent="0.25">
      <c r="B27" s="15">
        <v>22</v>
      </c>
      <c r="C27" s="16" t="s">
        <v>105</v>
      </c>
      <c r="D27" s="15" t="s">
        <v>101</v>
      </c>
      <c r="E27" s="35">
        <f>'Product Catalog &amp; Landed Cost'!S26</f>
        <v>2926.5925466666658</v>
      </c>
      <c r="F27" s="35">
        <f t="shared" si="0"/>
        <v>78.181818181818187</v>
      </c>
      <c r="G27" s="17">
        <v>0.35</v>
      </c>
      <c r="H27" s="20">
        <f t="shared" si="1"/>
        <v>4622.7297920745905</v>
      </c>
      <c r="I27" s="19">
        <f t="shared" si="2"/>
        <v>5316.1392608857786</v>
      </c>
      <c r="J27" s="19">
        <f t="shared" si="3"/>
        <v>6009.5487296969677</v>
      </c>
      <c r="K27" s="19">
        <f t="shared" si="4"/>
        <v>1617.9554272261064</v>
      </c>
      <c r="L27" s="36">
        <f t="shared" si="5"/>
        <v>0.34999999999999992</v>
      </c>
      <c r="M27" s="37">
        <f t="shared" si="6"/>
        <v>55472.757504895082</v>
      </c>
      <c r="N27" s="37">
        <f t="shared" si="7"/>
        <v>63793.671130629344</v>
      </c>
    </row>
    <row r="28" spans="2:14" ht="15" customHeight="1" x14ac:dyDescent="0.25">
      <c r="B28" s="12">
        <v>23</v>
      </c>
      <c r="C28" s="3" t="s">
        <v>106</v>
      </c>
      <c r="D28" s="12" t="s">
        <v>101</v>
      </c>
      <c r="E28" s="32">
        <f>'Product Catalog &amp; Landed Cost'!S27</f>
        <v>2103.2555186666664</v>
      </c>
      <c r="F28" s="32">
        <f t="shared" si="0"/>
        <v>78.181818181818187</v>
      </c>
      <c r="G28" s="33">
        <v>0.35</v>
      </c>
      <c r="H28" s="14">
        <f t="shared" si="1"/>
        <v>3356.0574413053605</v>
      </c>
      <c r="I28" s="13">
        <f t="shared" si="2"/>
        <v>3859.4660575011644</v>
      </c>
      <c r="J28" s="13">
        <f t="shared" si="3"/>
        <v>4362.8746736969688</v>
      </c>
      <c r="K28" s="13">
        <f t="shared" si="4"/>
        <v>1174.6201044568759</v>
      </c>
      <c r="L28" s="34">
        <f t="shared" si="5"/>
        <v>0.34999999999999992</v>
      </c>
      <c r="M28" s="9">
        <f t="shared" si="6"/>
        <v>40272.689295664328</v>
      </c>
      <c r="N28" s="9">
        <f t="shared" si="7"/>
        <v>46313.592690013975</v>
      </c>
    </row>
    <row r="29" spans="2:14" ht="15" customHeight="1" x14ac:dyDescent="0.25">
      <c r="B29" s="15">
        <v>24</v>
      </c>
      <c r="C29" s="16" t="s">
        <v>108</v>
      </c>
      <c r="D29" s="15" t="s">
        <v>101</v>
      </c>
      <c r="E29" s="35">
        <f>'Product Catalog &amp; Landed Cost'!S28</f>
        <v>1872.2110106666669</v>
      </c>
      <c r="F29" s="35">
        <f t="shared" si="0"/>
        <v>78.181818181818187</v>
      </c>
      <c r="G29" s="17">
        <v>0.35</v>
      </c>
      <c r="H29" s="20">
        <f t="shared" si="1"/>
        <v>3000.6043520745925</v>
      </c>
      <c r="I29" s="19">
        <f t="shared" si="2"/>
        <v>3450.6950048857811</v>
      </c>
      <c r="J29" s="19">
        <f t="shared" si="3"/>
        <v>3900.7856576969702</v>
      </c>
      <c r="K29" s="19">
        <f t="shared" si="4"/>
        <v>1050.2115232261074</v>
      </c>
      <c r="L29" s="36">
        <f t="shared" si="5"/>
        <v>0.35</v>
      </c>
      <c r="M29" s="37">
        <f t="shared" si="6"/>
        <v>36007.252224895114</v>
      </c>
      <c r="N29" s="37">
        <f t="shared" si="7"/>
        <v>41408.340058629372</v>
      </c>
    </row>
    <row r="30" spans="2:14" ht="15" customHeight="1" x14ac:dyDescent="0.25">
      <c r="B30" s="12">
        <v>25</v>
      </c>
      <c r="C30" s="3" t="s">
        <v>109</v>
      </c>
      <c r="D30" s="12" t="s">
        <v>101</v>
      </c>
      <c r="E30" s="32">
        <f>'Product Catalog &amp; Landed Cost'!S29</f>
        <v>1440.7649171666667</v>
      </c>
      <c r="F30" s="32">
        <f t="shared" si="0"/>
        <v>78.181818181818187</v>
      </c>
      <c r="G30" s="33">
        <v>0.35</v>
      </c>
      <c r="H30" s="14">
        <f t="shared" si="1"/>
        <v>2336.8411313053612</v>
      </c>
      <c r="I30" s="13">
        <f t="shared" si="2"/>
        <v>2687.3673010011653</v>
      </c>
      <c r="J30" s="13">
        <f t="shared" si="3"/>
        <v>3037.8934706969694</v>
      </c>
      <c r="K30" s="13">
        <f t="shared" si="4"/>
        <v>817.89439595687622</v>
      </c>
      <c r="L30" s="34">
        <f t="shared" si="5"/>
        <v>0.34999999999999992</v>
      </c>
      <c r="M30" s="9">
        <f t="shared" si="6"/>
        <v>28042.093575664334</v>
      </c>
      <c r="N30" s="9">
        <f t="shared" si="7"/>
        <v>32248.407612013983</v>
      </c>
    </row>
    <row r="31" spans="2:14" ht="15" customHeight="1" x14ac:dyDescent="0.25">
      <c r="B31" s="15">
        <v>26</v>
      </c>
      <c r="C31" s="16" t="s">
        <v>110</v>
      </c>
      <c r="D31" s="15" t="s">
        <v>101</v>
      </c>
      <c r="E31" s="35">
        <f>'Product Catalog &amp; Landed Cost'!S30</f>
        <v>2213.8840226666662</v>
      </c>
      <c r="F31" s="35">
        <f t="shared" si="0"/>
        <v>78.181818181818187</v>
      </c>
      <c r="G31" s="17">
        <v>0.35</v>
      </c>
      <c r="H31" s="20">
        <f t="shared" si="1"/>
        <v>3526.2551397668985</v>
      </c>
      <c r="I31" s="19">
        <f t="shared" si="2"/>
        <v>4055.193410731933</v>
      </c>
      <c r="J31" s="19">
        <f t="shared" si="3"/>
        <v>4584.1316816969684</v>
      </c>
      <c r="K31" s="19">
        <f t="shared" si="4"/>
        <v>1234.1892989184141</v>
      </c>
      <c r="L31" s="36">
        <f t="shared" si="5"/>
        <v>0.34999999999999992</v>
      </c>
      <c r="M31" s="37">
        <f t="shared" si="6"/>
        <v>42315.061677202786</v>
      </c>
      <c r="N31" s="37">
        <f t="shared" si="7"/>
        <v>48662.3209287832</v>
      </c>
    </row>
  </sheetData>
  <mergeCells count="1">
    <mergeCell ref="C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26"/>
  <sheetViews>
    <sheetView zoomScaleNormal="100" workbookViewId="0">
      <selection activeCell="J13" sqref="J13"/>
    </sheetView>
  </sheetViews>
  <sheetFormatPr defaultColWidth="8.7109375" defaultRowHeight="15" x14ac:dyDescent="0.25"/>
  <cols>
    <col min="1" max="1" width="3" customWidth="1"/>
    <col min="2" max="2" width="42" customWidth="1"/>
    <col min="3" max="3" width="22" customWidth="1"/>
    <col min="4" max="4" width="18" customWidth="1"/>
  </cols>
  <sheetData>
    <row r="2" spans="1:4" ht="15.75" customHeight="1" x14ac:dyDescent="0.25">
      <c r="B2" s="55" t="s">
        <v>169</v>
      </c>
      <c r="C2" s="55"/>
    </row>
    <row r="4" spans="1:4" ht="15" customHeight="1" x14ac:dyDescent="0.25">
      <c r="A4" s="2"/>
      <c r="B4" s="2" t="s">
        <v>170</v>
      </c>
      <c r="C4" s="2" t="s">
        <v>113</v>
      </c>
      <c r="D4" s="2" t="s">
        <v>171</v>
      </c>
    </row>
    <row r="5" spans="1:4" ht="15" customHeight="1" x14ac:dyDescent="0.25">
      <c r="B5" s="3" t="s">
        <v>172</v>
      </c>
      <c r="C5" s="7">
        <f>Assumptions!C8</f>
        <v>5500</v>
      </c>
      <c r="D5" s="38"/>
    </row>
    <row r="6" spans="1:4" ht="15" customHeight="1" x14ac:dyDescent="0.25">
      <c r="B6" s="3" t="s">
        <v>173</v>
      </c>
      <c r="C6" s="9">
        <f>Assumptions!C10</f>
        <v>66000</v>
      </c>
      <c r="D6" s="38"/>
    </row>
    <row r="8" spans="1:4" ht="15" customHeight="1" x14ac:dyDescent="0.25">
      <c r="B8" s="22" t="s">
        <v>174</v>
      </c>
      <c r="C8" s="23">
        <f>AVERAGE('Pricing Model'!H6:H31)*C6</f>
        <v>158059703.31884843</v>
      </c>
      <c r="D8" s="39">
        <v>1</v>
      </c>
    </row>
    <row r="10" spans="1:4" ht="15" customHeight="1" x14ac:dyDescent="0.25">
      <c r="B10" s="1" t="s">
        <v>175</v>
      </c>
    </row>
    <row r="11" spans="1:4" ht="15" customHeight="1" x14ac:dyDescent="0.25">
      <c r="B11" s="3" t="s">
        <v>193</v>
      </c>
      <c r="C11" s="9">
        <f>AVERAGE('Product Catalog &amp; Landed Cost'!S5:S30)*C6</f>
        <v>101710500.29004616</v>
      </c>
      <c r="D11" s="34">
        <f>C11/C8</f>
        <v>0.64349418703430716</v>
      </c>
    </row>
    <row r="12" spans="1:4" ht="15" customHeight="1" x14ac:dyDescent="0.25">
      <c r="B12" s="22" t="s">
        <v>176</v>
      </c>
      <c r="C12" s="23">
        <f>C11</f>
        <v>101710500.29004616</v>
      </c>
      <c r="D12" s="40">
        <f>C12/C8</f>
        <v>0.64349418703430716</v>
      </c>
    </row>
    <row r="14" spans="1:4" ht="15" customHeight="1" x14ac:dyDescent="0.25">
      <c r="B14" s="26" t="s">
        <v>177</v>
      </c>
      <c r="C14" s="27">
        <f>C8-C12</f>
        <v>56349203.028802276</v>
      </c>
      <c r="D14" s="41">
        <f>C14/C8</f>
        <v>0.35650581296569284</v>
      </c>
    </row>
    <row r="16" spans="1:4" ht="15" customHeight="1" x14ac:dyDescent="0.25">
      <c r="B16" s="1" t="s">
        <v>178</v>
      </c>
    </row>
    <row r="17" spans="2:4" ht="15" customHeight="1" x14ac:dyDescent="0.25">
      <c r="B17" s="3" t="s">
        <v>125</v>
      </c>
      <c r="C17" s="42">
        <f>'Operating Expenses'!C11</f>
        <v>1210000</v>
      </c>
      <c r="D17" s="34">
        <f>C17/C8</f>
        <v>7.6553351334533917E-3</v>
      </c>
    </row>
    <row r="18" spans="2:4" ht="15" customHeight="1" x14ac:dyDescent="0.25">
      <c r="B18" s="3" t="s">
        <v>135</v>
      </c>
      <c r="C18" s="42">
        <f>'Operating Expenses'!C18</f>
        <v>2000000</v>
      </c>
      <c r="D18" s="34">
        <f>C18/C8</f>
        <v>1.2653446501575854E-2</v>
      </c>
    </row>
    <row r="19" spans="2:4" ht="15" customHeight="1" x14ac:dyDescent="0.25">
      <c r="B19" s="3" t="s">
        <v>147</v>
      </c>
      <c r="C19" s="42">
        <f>'Operating Expenses'!C27</f>
        <v>1250000</v>
      </c>
      <c r="D19" s="34">
        <f>C19/C8</f>
        <v>7.9084040634849091E-3</v>
      </c>
    </row>
    <row r="20" spans="2:4" ht="15" customHeight="1" x14ac:dyDescent="0.25">
      <c r="B20" s="3" t="s">
        <v>155</v>
      </c>
      <c r="C20" s="42">
        <f>'Operating Expenses'!C33</f>
        <v>700000</v>
      </c>
      <c r="D20" s="34">
        <f>C20/C8</f>
        <v>4.4287062755515487E-3</v>
      </c>
    </row>
    <row r="21" spans="2:4" ht="15" customHeight="1" x14ac:dyDescent="0.25">
      <c r="B21" s="43" t="s">
        <v>156</v>
      </c>
      <c r="C21" s="44">
        <f>'Operating Expenses'!C35</f>
        <v>5160000</v>
      </c>
      <c r="D21" s="45">
        <f>C21/C8</f>
        <v>3.2645891974065699E-2</v>
      </c>
    </row>
    <row r="23" spans="2:4" ht="15" customHeight="1" x14ac:dyDescent="0.25">
      <c r="B23" s="46" t="s">
        <v>179</v>
      </c>
      <c r="C23" s="47">
        <f>C14-C21</f>
        <v>51189203.028802276</v>
      </c>
      <c r="D23" s="48">
        <f>C23/C8</f>
        <v>0.32385992099162714</v>
      </c>
    </row>
    <row r="25" spans="2:4" ht="15" customHeight="1" x14ac:dyDescent="0.25">
      <c r="B25" s="3" t="s">
        <v>180</v>
      </c>
      <c r="C25" s="9">
        <f>IF(C23&gt;0,C23*Assumptions!$C$52,0)</f>
        <v>15356760.908640683</v>
      </c>
      <c r="D25" s="38"/>
    </row>
    <row r="26" spans="2:4" ht="15" customHeight="1" x14ac:dyDescent="0.25">
      <c r="B26" s="46" t="s">
        <v>181</v>
      </c>
      <c r="C26" s="47">
        <f>C23-C25</f>
        <v>35832442.120161593</v>
      </c>
      <c r="D26" s="48">
        <f>C26/C8</f>
        <v>0.22670194469413898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8"/>
  <sheetViews>
    <sheetView zoomScaleNormal="100" workbookViewId="0">
      <selection activeCell="D8" sqref="D8"/>
    </sheetView>
  </sheetViews>
  <sheetFormatPr defaultColWidth="8.7109375" defaultRowHeight="15" x14ac:dyDescent="0.25"/>
  <cols>
    <col min="1" max="1" width="3" customWidth="1"/>
    <col min="2" max="2" width="28" customWidth="1"/>
    <col min="3" max="7" width="16" customWidth="1"/>
  </cols>
  <sheetData>
    <row r="2" spans="2:7" ht="15.75" customHeight="1" x14ac:dyDescent="0.25">
      <c r="B2" s="55" t="s">
        <v>182</v>
      </c>
      <c r="C2" s="55"/>
      <c r="D2" s="55"/>
      <c r="E2" s="55"/>
      <c r="F2" s="55"/>
    </row>
    <row r="4" spans="2:7" ht="15" customHeight="1" x14ac:dyDescent="0.25">
      <c r="B4" s="30" t="s">
        <v>183</v>
      </c>
      <c r="C4" s="49">
        <f>Assumptions!C6</f>
        <v>7.2</v>
      </c>
    </row>
    <row r="5" spans="2:7" ht="15" customHeight="1" x14ac:dyDescent="0.25">
      <c r="B5" s="30" t="s">
        <v>184</v>
      </c>
      <c r="C5" s="50">
        <f>AVERAGE('Product Catalog &amp; Landed Cost'!S5:S30)</f>
        <v>1541.0681862128206</v>
      </c>
    </row>
    <row r="7" spans="2:7" ht="15" customHeight="1" x14ac:dyDescent="0.25">
      <c r="B7" s="51" t="s">
        <v>185</v>
      </c>
      <c r="C7" s="52">
        <v>6.5</v>
      </c>
      <c r="D7" s="52">
        <v>7</v>
      </c>
      <c r="E7" s="52">
        <v>7.2</v>
      </c>
      <c r="F7" s="52">
        <v>7.5</v>
      </c>
      <c r="G7" s="52">
        <v>8</v>
      </c>
    </row>
    <row r="8" spans="2:7" ht="15" customHeight="1" x14ac:dyDescent="0.25">
      <c r="B8" s="3" t="s">
        <v>186</v>
      </c>
      <c r="C8" s="13">
        <f>30*C$7</f>
        <v>195</v>
      </c>
      <c r="D8" s="13">
        <f>30*D$7</f>
        <v>210</v>
      </c>
      <c r="E8" s="13">
        <f>30*E$7</f>
        <v>216</v>
      </c>
      <c r="F8" s="13">
        <f>30*F$7</f>
        <v>225</v>
      </c>
      <c r="G8" s="13">
        <f>30*G$7</f>
        <v>240</v>
      </c>
    </row>
    <row r="9" spans="2:7" ht="15" customHeight="1" x14ac:dyDescent="0.25">
      <c r="B9" s="3" t="s">
        <v>187</v>
      </c>
      <c r="C9" s="13">
        <f>60*C$7</f>
        <v>390</v>
      </c>
      <c r="D9" s="13">
        <f>60*D$7</f>
        <v>420</v>
      </c>
      <c r="E9" s="13">
        <f>60*E$7</f>
        <v>432</v>
      </c>
      <c r="F9" s="13">
        <f>60*F$7</f>
        <v>450</v>
      </c>
      <c r="G9" s="13">
        <f>60*G$7</f>
        <v>480</v>
      </c>
    </row>
    <row r="10" spans="2:7" ht="15" customHeight="1" x14ac:dyDescent="0.25">
      <c r="B10" s="3" t="s">
        <v>188</v>
      </c>
      <c r="C10" s="13">
        <f>180*C$7</f>
        <v>1170</v>
      </c>
      <c r="D10" s="13">
        <f>180*D$7</f>
        <v>1260</v>
      </c>
      <c r="E10" s="13">
        <f>180*E$7</f>
        <v>1296</v>
      </c>
      <c r="F10" s="13">
        <f>180*F$7</f>
        <v>1350</v>
      </c>
      <c r="G10" s="13">
        <f>180*G$7</f>
        <v>1440</v>
      </c>
    </row>
    <row r="13" spans="2:7" ht="15.75" customHeight="1" x14ac:dyDescent="0.25">
      <c r="B13" s="55" t="s">
        <v>189</v>
      </c>
      <c r="C13" s="55"/>
      <c r="D13" s="55"/>
      <c r="E13" s="55"/>
      <c r="F13" s="55"/>
    </row>
    <row r="15" spans="2:7" ht="15" customHeight="1" x14ac:dyDescent="0.25">
      <c r="B15" s="51" t="s">
        <v>190</v>
      </c>
      <c r="C15" s="53">
        <v>3000</v>
      </c>
      <c r="D15" s="53">
        <v>4000</v>
      </c>
      <c r="E15" s="53">
        <v>5500</v>
      </c>
      <c r="F15" s="53">
        <v>7000</v>
      </c>
      <c r="G15" s="53">
        <v>10000</v>
      </c>
    </row>
    <row r="16" spans="2:7" ht="15" customHeight="1" x14ac:dyDescent="0.25">
      <c r="B16" s="3" t="s">
        <v>16</v>
      </c>
      <c r="C16" s="54">
        <f>C$15*12</f>
        <v>36000</v>
      </c>
      <c r="D16" s="54">
        <f>D$15*12</f>
        <v>48000</v>
      </c>
      <c r="E16" s="54">
        <f>E$15*12</f>
        <v>66000</v>
      </c>
      <c r="F16" s="54">
        <f>F$15*12</f>
        <v>84000</v>
      </c>
      <c r="G16" s="54">
        <f>G$15*12</f>
        <v>120000</v>
      </c>
    </row>
    <row r="17" spans="2:7" ht="15" customHeight="1" x14ac:dyDescent="0.25">
      <c r="B17" s="3" t="s">
        <v>191</v>
      </c>
      <c r="C17" s="42">
        <f>'Operating Expenses'!C35</f>
        <v>5160000</v>
      </c>
      <c r="D17" s="42">
        <f>'Operating Expenses'!C35</f>
        <v>5160000</v>
      </c>
      <c r="E17" s="42">
        <f>'Operating Expenses'!C35</f>
        <v>5160000</v>
      </c>
      <c r="F17" s="42">
        <f>'Operating Expenses'!C35</f>
        <v>5160000</v>
      </c>
      <c r="G17" s="42">
        <f>'Operating Expenses'!C35</f>
        <v>5160000</v>
      </c>
    </row>
    <row r="18" spans="2:7" ht="15" customHeight="1" x14ac:dyDescent="0.25">
      <c r="B18" s="3" t="s">
        <v>192</v>
      </c>
      <c r="C18" s="14">
        <f>C17/C16</f>
        <v>143.33333333333334</v>
      </c>
      <c r="D18" s="14">
        <f>D17/D16</f>
        <v>107.5</v>
      </c>
      <c r="E18" s="14">
        <f>E17/E16</f>
        <v>78.181818181818187</v>
      </c>
      <c r="F18" s="14">
        <f>F17/F16</f>
        <v>61.428571428571431</v>
      </c>
      <c r="G18" s="14">
        <f>G17/G16</f>
        <v>43</v>
      </c>
    </row>
  </sheetData>
  <mergeCells count="2">
    <mergeCell ref="B2:F2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Assumptions</vt:lpstr>
      <vt:lpstr>Product Catalog &amp; Landed Cost</vt:lpstr>
      <vt:lpstr>Operating Expenses</vt:lpstr>
      <vt:lpstr>Pricing Model</vt:lpstr>
      <vt:lpstr>Monthly P&amp;L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</cp:lastModifiedBy>
  <cp:revision>0</cp:revision>
  <dcterms:created xsi:type="dcterms:W3CDTF">2026-04-21T08:57:26Z</dcterms:created>
  <dcterms:modified xsi:type="dcterms:W3CDTF">2026-05-06T06:29:57Z</dcterms:modified>
  <dc:language>en-US</dc:language>
</cp:coreProperties>
</file>